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20" windowWidth="11355" windowHeight="5640" tabRatio="723" activeTab="7"/>
  </bookViews>
  <sheets>
    <sheet name="ST-I" sheetId="20" r:id="rId1"/>
    <sheet name="AS-I" sheetId="23" r:id="rId2"/>
    <sheet name="ST-II" sheetId="21" r:id="rId3"/>
    <sheet name="AS-II" sheetId="26" r:id="rId4"/>
    <sheet name="ExitSurvey" sheetId="27" r:id="rId5"/>
    <sheet name="University" sheetId="30" r:id="rId6"/>
    <sheet name="DirectSummary" sheetId="28" r:id="rId7"/>
    <sheet name="CO-PO-Matrix" sheetId="31" r:id="rId8"/>
    <sheet name="Attainment" sheetId="32" r:id="rId9"/>
  </sheets>
  <calcPr calcId="124519"/>
</workbook>
</file>

<file path=xl/calcChain.xml><?xml version="1.0" encoding="utf-8"?>
<calcChain xmlns="http://schemas.openxmlformats.org/spreadsheetml/2006/main">
  <c r="A11" i="28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9"/>
  <c r="A69" i="30"/>
  <c r="B10"/>
  <c r="B11"/>
  <c r="B12"/>
  <c r="B13"/>
  <c r="B14"/>
  <c r="B9"/>
  <c r="B10" i="26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9"/>
  <c r="B10" i="21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9"/>
  <c r="B10" i="23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9"/>
  <c r="C68" i="30"/>
  <c r="A68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9"/>
  <c r="A66"/>
  <c r="A67"/>
  <c r="A64"/>
  <c r="A65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9"/>
  <c r="C10" i="26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9"/>
  <c r="C10" i="23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9"/>
  <c r="A33" i="21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C78" i="27"/>
  <c r="F7" i="32" s="1"/>
  <c r="C7"/>
  <c r="A7"/>
  <c r="B5" i="31"/>
  <c r="I7" i="32" l="1"/>
  <c r="C2" i="30"/>
  <c r="C3"/>
  <c r="F2" i="21" l="1"/>
  <c r="C81" i="28" l="1"/>
  <c r="A81"/>
  <c r="C80"/>
  <c r="A80"/>
  <c r="C79"/>
  <c r="A79"/>
  <c r="C78"/>
  <c r="A78"/>
  <c r="C77"/>
  <c r="A77"/>
  <c r="C76"/>
  <c r="A76"/>
  <c r="C75"/>
  <c r="A75"/>
  <c r="C74"/>
  <c r="C73"/>
  <c r="C72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A10"/>
  <c r="C9"/>
  <c r="A9"/>
  <c r="C3"/>
  <c r="Q2"/>
  <c r="C2"/>
  <c r="C75" i="26"/>
  <c r="C76"/>
  <c r="C77"/>
  <c r="C78"/>
  <c r="C79"/>
  <c r="C80"/>
  <c r="C81"/>
  <c r="A75"/>
  <c r="A76"/>
  <c r="A77"/>
  <c r="A78"/>
  <c r="A79"/>
  <c r="A80"/>
  <c r="A81"/>
  <c r="C74" i="23"/>
  <c r="C75"/>
  <c r="C76"/>
  <c r="C77"/>
  <c r="C78"/>
  <c r="C79"/>
  <c r="C80"/>
  <c r="C81"/>
  <c r="C25" i="21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A25"/>
  <c r="A26"/>
  <c r="A27"/>
  <c r="A28"/>
  <c r="A29"/>
  <c r="A30"/>
  <c r="A31"/>
  <c r="A32"/>
  <c r="A79"/>
  <c r="A80"/>
  <c r="A81"/>
  <c r="T3" i="23" l="1"/>
  <c r="T2"/>
  <c r="C3"/>
  <c r="C2"/>
  <c r="C3" i="26"/>
  <c r="C2"/>
  <c r="T3"/>
  <c r="T2"/>
  <c r="T3" i="21"/>
  <c r="T2"/>
  <c r="C3"/>
  <c r="C2"/>
</calcChain>
</file>

<file path=xl/sharedStrings.xml><?xml version="1.0" encoding="utf-8"?>
<sst xmlns="http://schemas.openxmlformats.org/spreadsheetml/2006/main" count="811" uniqueCount="245">
  <si>
    <t>%</t>
  </si>
  <si>
    <t>Register No</t>
  </si>
  <si>
    <t>CO 1</t>
  </si>
  <si>
    <t>CO 2</t>
  </si>
  <si>
    <t>CO 3</t>
  </si>
  <si>
    <t>CO 4</t>
  </si>
  <si>
    <t>CO5</t>
  </si>
  <si>
    <t>CO3</t>
  </si>
  <si>
    <t>CO1</t>
  </si>
  <si>
    <t>CO2</t>
  </si>
  <si>
    <t>CO4</t>
  </si>
  <si>
    <t>Q No</t>
  </si>
  <si>
    <t xml:space="preserve">C O </t>
  </si>
  <si>
    <t>Max Marks</t>
  </si>
  <si>
    <t>Maximum Marks</t>
  </si>
  <si>
    <t xml:space="preserve">Name </t>
  </si>
  <si>
    <t>Roll No</t>
  </si>
  <si>
    <t>SERIES TEST II MARKS</t>
  </si>
  <si>
    <t>SERIES TEST I MARKS</t>
  </si>
  <si>
    <t>CO 5</t>
  </si>
  <si>
    <t>Course Outcomes (COs)</t>
  </si>
  <si>
    <t xml:space="preserve">Semester : </t>
  </si>
  <si>
    <t xml:space="preserve">Branch: </t>
  </si>
  <si>
    <t xml:space="preserve">Faculty:  </t>
  </si>
  <si>
    <t xml:space="preserve">Subject with Code: </t>
  </si>
  <si>
    <t>CO 6</t>
  </si>
  <si>
    <t>CO7</t>
  </si>
  <si>
    <t>CO8</t>
  </si>
  <si>
    <t>CO9</t>
  </si>
  <si>
    <t>CO 10</t>
  </si>
  <si>
    <t>Assignment I MARKS</t>
  </si>
  <si>
    <t>Assignment II MARKS</t>
  </si>
  <si>
    <t>CSE</t>
  </si>
  <si>
    <t>Number of Corse Outcomes:</t>
  </si>
  <si>
    <t>Number of Students:</t>
  </si>
  <si>
    <t>Roll Number</t>
  </si>
  <si>
    <t>Name of the student:</t>
  </si>
  <si>
    <t>CO6</t>
  </si>
  <si>
    <t>DirectAttainmentSummary</t>
  </si>
  <si>
    <t>No. of Students</t>
  </si>
  <si>
    <t>Index</t>
  </si>
  <si>
    <t>CO10</t>
  </si>
  <si>
    <t>Course Exit Survey</t>
  </si>
  <si>
    <t>University</t>
  </si>
  <si>
    <t>KU</t>
  </si>
  <si>
    <t>KTU</t>
  </si>
  <si>
    <t>Grade</t>
  </si>
  <si>
    <t>University Result</t>
  </si>
  <si>
    <t>Attainment</t>
  </si>
  <si>
    <t>CO- PO/PSO Mapping</t>
  </si>
  <si>
    <t>Number of Cos:</t>
  </si>
  <si>
    <t>COs</t>
  </si>
  <si>
    <t>PO1</t>
  </si>
  <si>
    <t>PO2</t>
  </si>
  <si>
    <t>PO3</t>
  </si>
  <si>
    <t>PO4</t>
  </si>
  <si>
    <t>PO5</t>
  </si>
  <si>
    <t>PO6</t>
  </si>
  <si>
    <t>PO7</t>
  </si>
  <si>
    <t>PO8</t>
  </si>
  <si>
    <t>PO9</t>
  </si>
  <si>
    <t>PO10</t>
  </si>
  <si>
    <t>PO11</t>
  </si>
  <si>
    <t>PO12</t>
  </si>
  <si>
    <t>PSO1</t>
  </si>
  <si>
    <t>PSO2</t>
  </si>
  <si>
    <t>PSO3</t>
  </si>
  <si>
    <t>Please do the CO-PO/PSO mapping in three point scale.[3 -High, 2-Medium, 1-Low]</t>
  </si>
  <si>
    <t>Dr. Subu Surendran</t>
  </si>
  <si>
    <t>Attainment Level:</t>
  </si>
  <si>
    <t>Average percentage of students who attained all the COs</t>
  </si>
  <si>
    <t>Percentage of students who attained each CO</t>
  </si>
  <si>
    <t>No. of Students attained each CO</t>
  </si>
  <si>
    <t>CO Attainment</t>
  </si>
  <si>
    <t>Overall CO Attainment (Internal Assessment)</t>
  </si>
  <si>
    <t>Course to PO/PSO</t>
  </si>
  <si>
    <t>Course to PO/PSO attainment</t>
  </si>
  <si>
    <t>PO/PSO Mapping</t>
  </si>
  <si>
    <t>Overall CO Attainment</t>
  </si>
  <si>
    <t>Internal Assessment (IA)</t>
  </si>
  <si>
    <t>University Examination (UE)</t>
  </si>
  <si>
    <t>CO Attainment (Indirect)</t>
  </si>
  <si>
    <t>Overall CO Attainment (Indirect)</t>
  </si>
  <si>
    <t>13.805: Artificial Intelligence</t>
  </si>
  <si>
    <t>ABHIJITH A</t>
  </si>
  <si>
    <t>ABHISHEK SURESH</t>
  </si>
  <si>
    <t>ADERSH M</t>
  </si>
  <si>
    <t>ADITI NAIR B</t>
  </si>
  <si>
    <t>AISWARYA S</t>
  </si>
  <si>
    <t>AKHIL S L</t>
  </si>
  <si>
    <t>AKSHAY VENUGOPAL</t>
  </si>
  <si>
    <t>AKSHAY VISHNU KISHORE</t>
  </si>
  <si>
    <t>AMAL RAJ</t>
  </si>
  <si>
    <t>ANANDU ANIL</t>
  </si>
  <si>
    <t>ANITTA BALSALAM VASANTHAN</t>
  </si>
  <si>
    <t>ANJU SUJITH</t>
  </si>
  <si>
    <t>ANUSH KUMAR</t>
  </si>
  <si>
    <t>APARNA H K</t>
  </si>
  <si>
    <t>ARAVIND S</t>
  </si>
  <si>
    <t>ARJUN PADMANABHAN A</t>
  </si>
  <si>
    <t>Agree</t>
  </si>
  <si>
    <t>Neutral</t>
  </si>
  <si>
    <t>AASHIK N R</t>
  </si>
  <si>
    <t>ABHILASH JJ</t>
  </si>
  <si>
    <t>AISWARYA UDAYAN</t>
  </si>
  <si>
    <t>AKSHAY A PRAJAPATHY</t>
  </si>
  <si>
    <t>ALBIN ANTONY</t>
  </si>
  <si>
    <t>ALEX M JOHN</t>
  </si>
  <si>
    <t>ALIN BABU</t>
  </si>
  <si>
    <t>AMANYU ROY A P</t>
  </si>
  <si>
    <t>ANJANA S M</t>
  </si>
  <si>
    <t>APARNA S</t>
  </si>
  <si>
    <t>ARAVIND R</t>
  </si>
  <si>
    <t>ARJUN MURALEEDHARAN</t>
  </si>
  <si>
    <t>ARJUN C RAMESH</t>
  </si>
  <si>
    <t>ARUNDHATI KURUP</t>
  </si>
  <si>
    <t>ATHIRA S PILLAI</t>
  </si>
  <si>
    <t>ATHUL RAJ</t>
  </si>
  <si>
    <t>ATHULYA AL</t>
  </si>
  <si>
    <t>CYRIL SUNNY</t>
  </si>
  <si>
    <t>DEEPAK R B</t>
  </si>
  <si>
    <t>DEEPAK S S</t>
  </si>
  <si>
    <t>DISHA D MAJITHIA</t>
  </si>
  <si>
    <t>EBIN J</t>
  </si>
  <si>
    <t>FAISAL MOHAMMED A</t>
  </si>
  <si>
    <t>GAYATHRI S</t>
  </si>
  <si>
    <t>GOPIKA M</t>
  </si>
  <si>
    <t>GOURY JYOTHISH</t>
  </si>
  <si>
    <t>GOVIND G S</t>
  </si>
  <si>
    <t>GOVIND P</t>
  </si>
  <si>
    <t>HIMA BINDU BHARDWAJ</t>
  </si>
  <si>
    <t>J S MALINI</t>
  </si>
  <si>
    <t>JEBBY JOSEPH</t>
  </si>
  <si>
    <t>JISO K JOY</t>
  </si>
  <si>
    <t>KANNAN K D P</t>
  </si>
  <si>
    <t>KARTHIKA KRISHNA</t>
  </si>
  <si>
    <t>KARTHIKA PRADEEP</t>
  </si>
  <si>
    <t>KAVYA SHAJU</t>
  </si>
  <si>
    <t>KRISHNA RAJ R</t>
  </si>
  <si>
    <t>MAANASY P V</t>
  </si>
  <si>
    <t>MIDHUNA VIJAYAKUMAR</t>
  </si>
  <si>
    <t>MUHAMMAD T S</t>
  </si>
  <si>
    <t>NEVIN BAIJU</t>
  </si>
  <si>
    <t>NIRANJANA MADHAVAN THAMPI</t>
  </si>
  <si>
    <t>PRASEETHA KRISHNA J</t>
  </si>
  <si>
    <t>PRIYANKA GOVIND C V</t>
  </si>
  <si>
    <t>R SREELAKSHMI</t>
  </si>
  <si>
    <t>RAFIYA RAJESH S R</t>
  </si>
  <si>
    <t>RAHUL S</t>
  </si>
  <si>
    <t>RAKESH P</t>
  </si>
  <si>
    <t>S SACHIN</t>
  </si>
  <si>
    <t>S VIJAY VENKATESH</t>
  </si>
  <si>
    <t>SAGAR ASHOK</t>
  </si>
  <si>
    <t>SHEHAZ SHEFY</t>
  </si>
  <si>
    <t>SHIBIN B SHAJI</t>
  </si>
  <si>
    <t>SHRADHA MARIAM SANTHOSH</t>
  </si>
  <si>
    <t>SIBI KOSHY</t>
  </si>
  <si>
    <t>SIVAKRISHNAN S K</t>
  </si>
  <si>
    <t>SREEDEV S B</t>
  </si>
  <si>
    <t>TASNEEM ABDULKADER SHAJILABEEVI</t>
  </si>
  <si>
    <t>VENI S</t>
  </si>
  <si>
    <t>VISAKH V NAIR</t>
  </si>
  <si>
    <t>VISHNU A K</t>
  </si>
  <si>
    <t>VYSHNAVI S</t>
  </si>
  <si>
    <t>ABU THAHIR KM</t>
  </si>
  <si>
    <t>ARUN S BABU</t>
  </si>
  <si>
    <t>SUBINA C K</t>
  </si>
  <si>
    <t>CS304 COMPILER DESIGN</t>
  </si>
  <si>
    <t>Strongly agree</t>
  </si>
  <si>
    <t>Strongly disagree</t>
  </si>
  <si>
    <t>Strongly Disagree</t>
  </si>
  <si>
    <t>C</t>
  </si>
  <si>
    <t>B+</t>
  </si>
  <si>
    <t>B</t>
  </si>
  <si>
    <t>FE</t>
  </si>
  <si>
    <t>A</t>
  </si>
  <si>
    <t>F</t>
  </si>
  <si>
    <t>A+</t>
  </si>
  <si>
    <t>P</t>
  </si>
  <si>
    <t>SCT15CS001</t>
  </si>
  <si>
    <t>SCT15CS002</t>
  </si>
  <si>
    <t>SCT15CS003</t>
  </si>
  <si>
    <t>SCT15CS004</t>
  </si>
  <si>
    <t>SCT15CS005</t>
  </si>
  <si>
    <t>SCT15CS006</t>
  </si>
  <si>
    <t>SCT15CS007</t>
  </si>
  <si>
    <t>SCT15CS008</t>
  </si>
  <si>
    <t>SCT15CS009</t>
  </si>
  <si>
    <t>SCT15CS010</t>
  </si>
  <si>
    <t>SCT15CS011</t>
  </si>
  <si>
    <t>SCT15CS012</t>
  </si>
  <si>
    <t>SCT15CS013</t>
  </si>
  <si>
    <t>SCT15CS014</t>
  </si>
  <si>
    <t>SCT15CS015</t>
  </si>
  <si>
    <t>SCT15CS016</t>
  </si>
  <si>
    <t>SCT15CS017</t>
  </si>
  <si>
    <t>SCT15CS018</t>
  </si>
  <si>
    <t>SCT15CS019</t>
  </si>
  <si>
    <t>SCT15CS020</t>
  </si>
  <si>
    <t>SCT15CS021</t>
  </si>
  <si>
    <t>SCT15CS022</t>
  </si>
  <si>
    <t>SCT15CS023</t>
  </si>
  <si>
    <t>SCT15CS024</t>
  </si>
  <si>
    <t>SCT15CS025</t>
  </si>
  <si>
    <t>SCT15CS026</t>
  </si>
  <si>
    <t>SCT15CS027</t>
  </si>
  <si>
    <t>SCT15CS028</t>
  </si>
  <si>
    <t>SCT15CS029</t>
  </si>
  <si>
    <t>SCT15CS030</t>
  </si>
  <si>
    <t>SCT15CS031</t>
  </si>
  <si>
    <t>SCT15CS032</t>
  </si>
  <si>
    <t>SCT15CS033</t>
  </si>
  <si>
    <t>SCT15CS034</t>
  </si>
  <si>
    <t>SCT15CS035</t>
  </si>
  <si>
    <t>SCT15CS036</t>
  </si>
  <si>
    <t>SCT15CS037</t>
  </si>
  <si>
    <t>SCT15CS038</t>
  </si>
  <si>
    <t>SCT15CS039</t>
  </si>
  <si>
    <t>SCT15CS040</t>
  </si>
  <si>
    <t>SCT15CS041</t>
  </si>
  <si>
    <t>SCT15CS042</t>
  </si>
  <si>
    <t>SCT15CS043</t>
  </si>
  <si>
    <t>SCT15CS044</t>
  </si>
  <si>
    <t>SCT15CS045</t>
  </si>
  <si>
    <t>SCT15CS046</t>
  </si>
  <si>
    <t>SCT15CS047</t>
  </si>
  <si>
    <t>SCT15CS048</t>
  </si>
  <si>
    <t>SCT15CS049</t>
  </si>
  <si>
    <t>SCT15CS050</t>
  </si>
  <si>
    <t>SCT15CS051</t>
  </si>
  <si>
    <t>SCT15CS052</t>
  </si>
  <si>
    <t>SCT15CS053</t>
  </si>
  <si>
    <t>SCT15CS054</t>
  </si>
  <si>
    <t>SCT15CS055</t>
  </si>
  <si>
    <t>SCT15CS056</t>
  </si>
  <si>
    <t>SCT15CS057</t>
  </si>
  <si>
    <t>SCT15CS058</t>
  </si>
  <si>
    <t>SCT15CS059</t>
  </si>
  <si>
    <t>SCT15CS060</t>
  </si>
  <si>
    <t>SCT15CS061</t>
  </si>
  <si>
    <t>SCT15CS062</t>
  </si>
  <si>
    <t>SCT15CS063</t>
  </si>
  <si>
    <t>SCT15CS064</t>
  </si>
  <si>
    <t>SCT15CS065</t>
  </si>
  <si>
    <t>SCT15CS066</t>
  </si>
</sst>
</file>

<file path=xl/styles.xml><?xml version="1.0" encoding="utf-8"?>
<styleSheet xmlns="http://schemas.openxmlformats.org/spreadsheetml/2006/main">
  <fonts count="4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"/>
      <family val="2"/>
    </font>
    <font>
      <b/>
      <u/>
      <sz val="12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"/>
      <name val="Arial"/>
      <family val="2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haroni"/>
      <charset val="177"/>
    </font>
    <font>
      <sz val="10"/>
      <color theme="0"/>
      <name val="Arial"/>
      <family val="2"/>
    </font>
    <font>
      <b/>
      <sz val="11"/>
      <color theme="5" tint="-0.249977111117893"/>
      <name val="Calibri"/>
      <family val="2"/>
      <scheme val="minor"/>
    </font>
    <font>
      <b/>
      <i/>
      <sz val="11"/>
      <color theme="1"/>
      <name val="Times New Roman"/>
      <family val="1"/>
    </font>
    <font>
      <b/>
      <sz val="10"/>
      <color rgb="FFFF0000"/>
      <name val="Arial"/>
      <family val="2"/>
    </font>
    <font>
      <b/>
      <sz val="11"/>
      <color rgb="FF000000"/>
      <name val="Calibri"/>
      <family val="2"/>
    </font>
    <font>
      <b/>
      <sz val="10"/>
      <color rgb="FF3366FF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1"/>
      <color rgb="FFFF0000"/>
      <name val="Calibri"/>
      <family val="2"/>
    </font>
    <font>
      <b/>
      <sz val="10"/>
      <color rgb="FF000000"/>
      <name val="Bookman Old Style"/>
      <family val="1"/>
    </font>
    <font>
      <b/>
      <sz val="20"/>
      <color rgb="FFFF0000"/>
      <name val="Calibri"/>
      <family val="2"/>
      <scheme val="minor"/>
    </font>
    <font>
      <sz val="10"/>
      <color indexed="8"/>
      <name val="Arial"/>
      <family val="2"/>
    </font>
    <font>
      <sz val="8"/>
      <color rgb="FF000000"/>
      <name val="Arial"/>
      <family val="2"/>
    </font>
    <font>
      <sz val="8"/>
      <name val="Calibri"/>
      <family val="2"/>
      <scheme val="minor"/>
    </font>
    <font>
      <b/>
      <sz val="11"/>
      <color rgb="FFFF0066"/>
      <name val="Calibri"/>
      <family val="2"/>
      <scheme val="minor"/>
    </font>
    <font>
      <b/>
      <sz val="10"/>
      <color theme="1"/>
      <name val="Aharoni"/>
      <charset val="177"/>
    </font>
    <font>
      <sz val="11"/>
      <color rgb="FF000000"/>
      <name val="Times New Roman"/>
      <family val="1"/>
    </font>
    <font>
      <sz val="11"/>
      <color theme="1"/>
      <name val="Bookman Old Style"/>
      <family val="1"/>
    </font>
    <font>
      <sz val="9"/>
      <name val="Times New Roman"/>
      <family val="1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7">
    <xf numFmtId="0" fontId="0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6" fillId="0" borderId="0"/>
    <xf numFmtId="0" fontId="6" fillId="0" borderId="0"/>
    <xf numFmtId="0" fontId="3" fillId="0" borderId="0"/>
    <xf numFmtId="0" fontId="3" fillId="0" borderId="0"/>
    <xf numFmtId="0" fontId="6" fillId="0" borderId="0"/>
    <xf numFmtId="0" fontId="3" fillId="0" borderId="0"/>
    <xf numFmtId="0" fontId="3" fillId="0" borderId="0"/>
    <xf numFmtId="0" fontId="2" fillId="0" borderId="0"/>
    <xf numFmtId="0" fontId="5" fillId="0" borderId="0"/>
    <xf numFmtId="0" fontId="5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5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5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1" fillId="0" borderId="0"/>
  </cellStyleXfs>
  <cellXfs count="181">
    <xf numFmtId="0" fontId="0" fillId="0" borderId="0" xfId="0"/>
    <xf numFmtId="0" fontId="7" fillId="0" borderId="0" xfId="0" applyFont="1"/>
    <xf numFmtId="0" fontId="7" fillId="0" borderId="0" xfId="0" applyFont="1" applyBorder="1" applyAlignment="1">
      <alignment horizontal="center"/>
    </xf>
    <xf numFmtId="0" fontId="7" fillId="0" borderId="0" xfId="0" applyFont="1" applyAlignment="1">
      <alignment horizontal="center"/>
    </xf>
    <xf numFmtId="1" fontId="7" fillId="0" borderId="0" xfId="0" applyNumberFormat="1" applyFont="1"/>
    <xf numFmtId="1" fontId="7" fillId="0" borderId="0" xfId="0" applyNumberFormat="1" applyFont="1" applyBorder="1" applyAlignment="1">
      <alignment horizontal="left"/>
    </xf>
    <xf numFmtId="0" fontId="8" fillId="2" borderId="1" xfId="1" applyFont="1" applyFill="1" applyBorder="1" applyAlignment="1">
      <alignment horizontal="center" vertical="center" wrapText="1"/>
    </xf>
    <xf numFmtId="0" fontId="9" fillId="0" borderId="0" xfId="0" applyFont="1"/>
    <xf numFmtId="0" fontId="7" fillId="0" borderId="1" xfId="0" applyFont="1" applyBorder="1"/>
    <xf numFmtId="0" fontId="7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0" xfId="0" applyFont="1" applyBorder="1" applyAlignment="1"/>
    <xf numFmtId="0" fontId="7" fillId="0" borderId="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12" fillId="0" borderId="0" xfId="0" applyFont="1" applyBorder="1" applyAlignment="1"/>
    <xf numFmtId="0" fontId="7" fillId="3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7" fillId="3" borderId="0" xfId="0" applyFont="1" applyFill="1"/>
    <xf numFmtId="0" fontId="7" fillId="3" borderId="1" xfId="1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4" fillId="0" borderId="1" xfId="0" applyFont="1" applyBorder="1"/>
    <xf numFmtId="0" fontId="15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Border="1" applyAlignment="1"/>
    <xf numFmtId="0" fontId="7" fillId="0" borderId="0" xfId="0" applyFont="1" applyBorder="1" applyAlignment="1">
      <alignment horizontal="center"/>
    </xf>
    <xf numFmtId="1" fontId="7" fillId="0" borderId="0" xfId="0" applyNumberFormat="1" applyFont="1" applyBorder="1" applyAlignment="1">
      <alignment horizontal="left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Border="1" applyAlignment="1">
      <alignment horizontal="left"/>
    </xf>
    <xf numFmtId="0" fontId="7" fillId="0" borderId="0" xfId="0" applyFont="1" applyBorder="1" applyAlignment="1"/>
    <xf numFmtId="1" fontId="7" fillId="0" borderId="0" xfId="0" applyNumberFormat="1" applyFont="1" applyBorder="1" applyAlignment="1">
      <alignment horizontal="left"/>
    </xf>
    <xf numFmtId="0" fontId="7" fillId="0" borderId="1" xfId="0" applyFont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1" fontId="7" fillId="0" borderId="1" xfId="0" applyNumberFormat="1" applyFont="1" applyBorder="1"/>
    <xf numFmtId="2" fontId="7" fillId="0" borderId="1" xfId="0" applyNumberFormat="1" applyFont="1" applyBorder="1" applyAlignment="1">
      <alignment horizontal="center" vertical="center"/>
    </xf>
    <xf numFmtId="0" fontId="7" fillId="3" borderId="0" xfId="0" applyFont="1" applyFill="1" applyBorder="1" applyAlignment="1">
      <alignment horizontal="left"/>
    </xf>
    <xf numFmtId="0" fontId="7" fillId="0" borderId="0" xfId="0" applyFont="1" applyAlignment="1">
      <alignment horizontal="left"/>
    </xf>
    <xf numFmtId="0" fontId="8" fillId="3" borderId="0" xfId="0" applyFont="1" applyFill="1" applyAlignment="1">
      <alignment horizontal="left"/>
    </xf>
    <xf numFmtId="0" fontId="8" fillId="0" borderId="0" xfId="0" applyFont="1"/>
    <xf numFmtId="0" fontId="8" fillId="3" borderId="0" xfId="0" applyFont="1" applyFill="1" applyBorder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Border="1" applyAlignment="1">
      <alignment horizontal="left"/>
    </xf>
    <xf numFmtId="0" fontId="17" fillId="0" borderId="8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8" fillId="3" borderId="0" xfId="0" applyFont="1" applyFill="1" applyAlignment="1"/>
    <xf numFmtId="0" fontId="17" fillId="0" borderId="1" xfId="0" applyFont="1" applyBorder="1" applyAlignment="1">
      <alignment horizontal="center" vertical="center"/>
    </xf>
    <xf numFmtId="0" fontId="7" fillId="3" borderId="0" xfId="0" applyFont="1" applyFill="1" applyBorder="1" applyAlignment="1">
      <alignment horizontal="left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Border="1" applyAlignment="1"/>
    <xf numFmtId="0" fontId="7" fillId="0" borderId="1" xfId="0" applyFont="1" applyBorder="1" applyAlignment="1">
      <alignment horizontal="center"/>
    </xf>
    <xf numFmtId="0" fontId="17" fillId="4" borderId="0" xfId="0" applyFont="1" applyFill="1" applyBorder="1" applyAlignment="1"/>
    <xf numFmtId="0" fontId="17" fillId="4" borderId="0" xfId="0" applyFont="1" applyFill="1"/>
    <xf numFmtId="0" fontId="17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17" fillId="6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0" fillId="5" borderId="1" xfId="0" applyFill="1" applyBorder="1"/>
    <xf numFmtId="0" fontId="12" fillId="5" borderId="1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left"/>
    </xf>
    <xf numFmtId="0" fontId="7" fillId="0" borderId="0" xfId="0" applyFont="1" applyBorder="1" applyAlignment="1"/>
    <xf numFmtId="0" fontId="8" fillId="11" borderId="1" xfId="0" applyFont="1" applyFill="1" applyBorder="1"/>
    <xf numFmtId="0" fontId="9" fillId="11" borderId="1" xfId="0" applyFont="1" applyFill="1" applyBorder="1"/>
    <xf numFmtId="0" fontId="18" fillId="12" borderId="1" xfId="0" applyFont="1" applyFill="1" applyBorder="1" applyAlignment="1">
      <alignment horizontal="center" vertical="center" wrapText="1"/>
    </xf>
    <xf numFmtId="0" fontId="18" fillId="12" borderId="1" xfId="0" applyFont="1" applyFill="1" applyBorder="1" applyAlignment="1">
      <alignment vertical="center" wrapText="1"/>
    </xf>
    <xf numFmtId="0" fontId="19" fillId="8" borderId="1" xfId="0" applyFont="1" applyFill="1" applyBorder="1" applyAlignment="1">
      <alignment wrapText="1"/>
    </xf>
    <xf numFmtId="0" fontId="0" fillId="8" borderId="1" xfId="0" applyFill="1" applyBorder="1"/>
    <xf numFmtId="0" fontId="19" fillId="13" borderId="1" xfId="0" applyFont="1" applyFill="1" applyBorder="1" applyAlignment="1">
      <alignment wrapText="1"/>
    </xf>
    <xf numFmtId="0" fontId="20" fillId="13" borderId="1" xfId="0" applyFont="1" applyFill="1" applyBorder="1" applyAlignment="1">
      <alignment wrapText="1"/>
    </xf>
    <xf numFmtId="0" fontId="0" fillId="13" borderId="1" xfId="0" applyFill="1" applyBorder="1"/>
    <xf numFmtId="0" fontId="19" fillId="8" borderId="1" xfId="0" applyFont="1" applyFill="1" applyBorder="1" applyAlignment="1">
      <alignment horizontal="center" wrapText="1"/>
    </xf>
    <xf numFmtId="0" fontId="20" fillId="14" borderId="5" xfId="0" applyFont="1" applyFill="1" applyBorder="1" applyAlignment="1">
      <alignment wrapText="1"/>
    </xf>
    <xf numFmtId="0" fontId="16" fillId="14" borderId="1" xfId="0" applyFont="1" applyFill="1" applyBorder="1"/>
    <xf numFmtId="0" fontId="5" fillId="0" borderId="0" xfId="0" applyFont="1"/>
    <xf numFmtId="0" fontId="0" fillId="0" borderId="0" xfId="0" applyBorder="1"/>
    <xf numFmtId="0" fontId="0" fillId="0" borderId="0" xfId="0" applyAlignment="1">
      <alignment horizontal="center"/>
    </xf>
    <xf numFmtId="0" fontId="21" fillId="0" borderId="0" xfId="0" applyFont="1"/>
    <xf numFmtId="0" fontId="7" fillId="3" borderId="0" xfId="0" applyFont="1" applyFill="1" applyBorder="1" applyAlignment="1">
      <alignment horizontal="center"/>
    </xf>
    <xf numFmtId="0" fontId="9" fillId="16" borderId="1" xfId="0" applyFont="1" applyFill="1" applyBorder="1" applyAlignment="1">
      <alignment horizontal="center"/>
    </xf>
    <xf numFmtId="0" fontId="16" fillId="10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top"/>
    </xf>
    <xf numFmtId="0" fontId="16" fillId="12" borderId="1" xfId="0" applyFont="1" applyFill="1" applyBorder="1" applyAlignment="1">
      <alignment horizontal="center" vertical="top"/>
    </xf>
    <xf numFmtId="0" fontId="17" fillId="9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/>
    </xf>
    <xf numFmtId="0" fontId="17" fillId="2" borderId="0" xfId="0" applyFont="1" applyFill="1" applyBorder="1" applyAlignment="1"/>
    <xf numFmtId="0" fontId="8" fillId="3" borderId="0" xfId="0" applyFont="1" applyFill="1" applyBorder="1" applyAlignment="1">
      <alignment horizontal="center"/>
    </xf>
    <xf numFmtId="0" fontId="0" fillId="14" borderId="1" xfId="0" applyFill="1" applyBorder="1"/>
    <xf numFmtId="1" fontId="31" fillId="0" borderId="0" xfId="0" applyNumberFormat="1" applyFont="1" applyBorder="1" applyAlignment="1">
      <alignment horizontal="left"/>
    </xf>
    <xf numFmtId="0" fontId="32" fillId="0" borderId="1" xfId="0" applyFont="1" applyBorder="1"/>
    <xf numFmtId="0" fontId="7" fillId="3" borderId="5" xfId="0" applyFont="1" applyFill="1" applyBorder="1" applyAlignment="1">
      <alignment horizontal="center" vertical="center"/>
    </xf>
    <xf numFmtId="1" fontId="7" fillId="0" borderId="3" xfId="0" applyNumberFormat="1" applyFont="1" applyBorder="1"/>
    <xf numFmtId="0" fontId="24" fillId="0" borderId="0" xfId="0" applyFont="1" applyAlignment="1">
      <alignment horizontal="center"/>
    </xf>
    <xf numFmtId="0" fontId="33" fillId="0" borderId="1" xfId="0" applyFont="1" applyBorder="1" applyAlignment="1">
      <alignment horizontal="center"/>
    </xf>
    <xf numFmtId="0" fontId="34" fillId="0" borderId="1" xfId="0" applyFont="1" applyBorder="1"/>
    <xf numFmtId="0" fontId="8" fillId="18" borderId="1" xfId="0" applyFont="1" applyFill="1" applyBorder="1"/>
    <xf numFmtId="0" fontId="9" fillId="18" borderId="1" xfId="0" applyFont="1" applyFill="1" applyBorder="1"/>
    <xf numFmtId="0" fontId="8" fillId="20" borderId="1" xfId="0" applyFont="1" applyFill="1" applyBorder="1"/>
    <xf numFmtId="0" fontId="9" fillId="20" borderId="1" xfId="0" applyFont="1" applyFill="1" applyBorder="1"/>
    <xf numFmtId="0" fontId="9" fillId="21" borderId="1" xfId="0" applyFont="1" applyFill="1" applyBorder="1" applyAlignment="1">
      <alignment wrapText="1"/>
    </xf>
    <xf numFmtId="0" fontId="9" fillId="21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9" fillId="24" borderId="1" xfId="0" applyFont="1" applyFill="1" applyBorder="1" applyAlignment="1">
      <alignment vertical="center" wrapText="1"/>
    </xf>
    <xf numFmtId="0" fontId="9" fillId="24" borderId="1" xfId="0" applyFont="1" applyFill="1" applyBorder="1" applyAlignment="1">
      <alignment vertical="center"/>
    </xf>
    <xf numFmtId="0" fontId="36" fillId="14" borderId="4" xfId="0" applyFont="1" applyFill="1" applyBorder="1" applyAlignment="1">
      <alignment wrapText="1"/>
    </xf>
    <xf numFmtId="0" fontId="9" fillId="23" borderId="1" xfId="0" applyFont="1" applyFill="1" applyBorder="1" applyAlignment="1">
      <alignment vertical="center"/>
    </xf>
    <xf numFmtId="0" fontId="9" fillId="23" borderId="1" xfId="0" applyFont="1" applyFill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37" fillId="0" borderId="1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5" fillId="0" borderId="1" xfId="0" applyFont="1" applyBorder="1" applyAlignment="1"/>
    <xf numFmtId="0" fontId="38" fillId="25" borderId="1" xfId="0" applyFont="1" applyFill="1" applyBorder="1" applyAlignment="1">
      <alignment horizontal="center" vertical="center"/>
    </xf>
    <xf numFmtId="0" fontId="39" fillId="2" borderId="1" xfId="0" applyFont="1" applyFill="1" applyBorder="1" applyAlignment="1">
      <alignment vertical="center"/>
    </xf>
    <xf numFmtId="0" fontId="39" fillId="2" borderId="1" xfId="0" applyFont="1" applyFill="1" applyBorder="1" applyAlignment="1">
      <alignment vertical="center" wrapText="1"/>
    </xf>
    <xf numFmtId="0" fontId="39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32" fillId="2" borderId="1" xfId="0" applyFont="1" applyFill="1" applyBorder="1"/>
    <xf numFmtId="0" fontId="0" fillId="15" borderId="1" xfId="0" applyFont="1" applyFill="1" applyBorder="1"/>
    <xf numFmtId="0" fontId="0" fillId="0" borderId="1" xfId="0" applyBorder="1"/>
    <xf numFmtId="0" fontId="5" fillId="0" borderId="0" xfId="0" applyFont="1" applyAlignment="1"/>
    <xf numFmtId="0" fontId="0" fillId="0" borderId="11" xfId="0" applyBorder="1"/>
    <xf numFmtId="0" fontId="12" fillId="0" borderId="0" xfId="0" applyFont="1" applyAlignment="1">
      <alignment horizontal="left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8" fillId="3" borderId="0" xfId="0" applyFont="1" applyFill="1" applyBorder="1" applyAlignment="1">
      <alignment horizontal="left"/>
    </xf>
    <xf numFmtId="0" fontId="12" fillId="0" borderId="0" xfId="0" applyFont="1" applyBorder="1" applyAlignment="1">
      <alignment horizontal="center"/>
    </xf>
    <xf numFmtId="0" fontId="7" fillId="3" borderId="0" xfId="0" applyFont="1" applyFill="1" applyAlignment="1">
      <alignment horizontal="left"/>
    </xf>
    <xf numFmtId="0" fontId="12" fillId="0" borderId="5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1" fontId="12" fillId="0" borderId="2" xfId="0" applyNumberFormat="1" applyFont="1" applyBorder="1" applyAlignment="1">
      <alignment horizontal="center" vertical="center" wrapText="1"/>
    </xf>
    <xf numFmtId="1" fontId="12" fillId="0" borderId="7" xfId="0" applyNumberFormat="1" applyFont="1" applyBorder="1" applyAlignment="1">
      <alignment horizontal="center" vertical="center" wrapText="1"/>
    </xf>
    <xf numFmtId="1" fontId="12" fillId="0" borderId="3" xfId="0" applyNumberFormat="1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8" fillId="3" borderId="0" xfId="0" applyFont="1" applyFill="1" applyAlignment="1">
      <alignment horizontal="left"/>
    </xf>
    <xf numFmtId="0" fontId="7" fillId="3" borderId="0" xfId="0" applyFont="1" applyFill="1" applyBorder="1" applyAlignment="1">
      <alignment horizontal="left"/>
    </xf>
    <xf numFmtId="0" fontId="16" fillId="15" borderId="8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left"/>
    </xf>
    <xf numFmtId="1" fontId="12" fillId="0" borderId="0" xfId="0" applyNumberFormat="1" applyFont="1" applyBorder="1" applyAlignment="1">
      <alignment horizontal="center" vertical="center" wrapText="1"/>
    </xf>
    <xf numFmtId="1" fontId="22" fillId="12" borderId="0" xfId="0" applyNumberFormat="1" applyFont="1" applyFill="1" applyBorder="1" applyAlignment="1">
      <alignment horizontal="center"/>
    </xf>
    <xf numFmtId="1" fontId="12" fillId="0" borderId="1" xfId="0" applyNumberFormat="1" applyFont="1" applyBorder="1" applyAlignment="1">
      <alignment horizontal="center" vertical="center" wrapText="1"/>
    </xf>
    <xf numFmtId="0" fontId="8" fillId="16" borderId="1" xfId="0" applyFont="1" applyFill="1" applyBorder="1" applyAlignment="1">
      <alignment horizontal="center"/>
    </xf>
    <xf numFmtId="0" fontId="9" fillId="3" borderId="0" xfId="0" applyFont="1" applyFill="1" applyAlignment="1">
      <alignment horizontal="left"/>
    </xf>
    <xf numFmtId="0" fontId="8" fillId="9" borderId="1" xfId="0" applyFont="1" applyFill="1" applyBorder="1" applyAlignment="1">
      <alignment horizontal="center"/>
    </xf>
    <xf numFmtId="49" fontId="8" fillId="3" borderId="0" xfId="0" applyNumberFormat="1" applyFont="1" applyFill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8" fillId="19" borderId="1" xfId="0" applyFont="1" applyFill="1" applyBorder="1" applyAlignment="1">
      <alignment horizontal="center"/>
    </xf>
    <xf numFmtId="0" fontId="8" fillId="20" borderId="1" xfId="0" applyFont="1" applyFill="1" applyBorder="1" applyAlignment="1">
      <alignment horizontal="center"/>
    </xf>
    <xf numFmtId="0" fontId="8" fillId="18" borderId="1" xfId="0" applyFont="1" applyFill="1" applyBorder="1" applyAlignment="1">
      <alignment horizontal="center"/>
    </xf>
    <xf numFmtId="0" fontId="8" fillId="19" borderId="5" xfId="0" applyFont="1" applyFill="1" applyBorder="1" applyAlignment="1">
      <alignment horizontal="center"/>
    </xf>
    <xf numFmtId="0" fontId="8" fillId="19" borderId="6" xfId="0" applyFont="1" applyFill="1" applyBorder="1" applyAlignment="1">
      <alignment horizontal="center"/>
    </xf>
    <xf numFmtId="0" fontId="8" fillId="19" borderId="4" xfId="0" applyFont="1" applyFill="1" applyBorder="1" applyAlignment="1">
      <alignment horizontal="center"/>
    </xf>
    <xf numFmtId="0" fontId="35" fillId="21" borderId="1" xfId="0" applyFont="1" applyFill="1" applyBorder="1" applyAlignment="1">
      <alignment horizontal="center"/>
    </xf>
    <xf numFmtId="0" fontId="16" fillId="17" borderId="1" xfId="0" applyFont="1" applyFill="1" applyBorder="1" applyAlignment="1">
      <alignment horizontal="center" vertical="center"/>
    </xf>
    <xf numFmtId="0" fontId="23" fillId="9" borderId="5" xfId="0" applyFont="1" applyFill="1" applyBorder="1" applyAlignment="1">
      <alignment horizontal="center" vertical="center"/>
    </xf>
    <xf numFmtId="0" fontId="23" fillId="9" borderId="6" xfId="0" applyFont="1" applyFill="1" applyBorder="1" applyAlignment="1">
      <alignment horizontal="center" vertical="center"/>
    </xf>
    <xf numFmtId="0" fontId="23" fillId="9" borderId="4" xfId="0" applyFont="1" applyFill="1" applyBorder="1" applyAlignment="1">
      <alignment horizontal="center" vertical="center"/>
    </xf>
    <xf numFmtId="0" fontId="9" fillId="10" borderId="9" xfId="0" applyFont="1" applyFill="1" applyBorder="1" applyAlignment="1">
      <alignment horizontal="center" vertical="center"/>
    </xf>
    <xf numFmtId="0" fontId="9" fillId="10" borderId="10" xfId="0" applyFont="1" applyFill="1" applyBorder="1" applyAlignment="1">
      <alignment horizontal="center" vertical="center"/>
    </xf>
    <xf numFmtId="0" fontId="9" fillId="7" borderId="5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9" fillId="7" borderId="6" xfId="0" applyFont="1" applyFill="1" applyBorder="1" applyAlignment="1">
      <alignment horizontal="center"/>
    </xf>
    <xf numFmtId="0" fontId="9" fillId="23" borderId="1" xfId="0" applyFont="1" applyFill="1" applyBorder="1" applyAlignment="1">
      <alignment horizontal="center"/>
    </xf>
    <xf numFmtId="0" fontId="9" fillId="22" borderId="0" xfId="0" applyFont="1" applyFill="1" applyAlignment="1">
      <alignment horizontal="center" vertical="center"/>
    </xf>
    <xf numFmtId="0" fontId="9" fillId="10" borderId="5" xfId="0" applyFont="1" applyFill="1" applyBorder="1" applyAlignment="1">
      <alignment horizontal="center"/>
    </xf>
    <xf numFmtId="0" fontId="9" fillId="10" borderId="6" xfId="0" applyFont="1" applyFill="1" applyBorder="1" applyAlignment="1">
      <alignment horizontal="center"/>
    </xf>
    <xf numFmtId="0" fontId="9" fillId="10" borderId="4" xfId="0" applyFont="1" applyFill="1" applyBorder="1" applyAlignment="1">
      <alignment horizontal="center"/>
    </xf>
  </cellXfs>
  <cellStyles count="37">
    <cellStyle name="Normal" xfId="0" builtinId="0"/>
    <cellStyle name="Normal 12" xfId="3"/>
    <cellStyle name="Normal 2" xfId="1"/>
    <cellStyle name="Normal 2 2" xfId="2"/>
    <cellStyle name="Normal 2 3" xfId="5"/>
    <cellStyle name="Normal 2 3 2" xfId="13"/>
    <cellStyle name="Normal 2 3 3" xfId="21"/>
    <cellStyle name="Normal 2 3 4" xfId="29"/>
    <cellStyle name="Normal 2 4" xfId="6"/>
    <cellStyle name="Normal 2 4 2" xfId="14"/>
    <cellStyle name="Normal 2 4 3" xfId="22"/>
    <cellStyle name="Normal 2 4 4" xfId="30"/>
    <cellStyle name="Normal 2 5" xfId="9"/>
    <cellStyle name="Normal 2 5 2" xfId="17"/>
    <cellStyle name="Normal 2 5 3" xfId="25"/>
    <cellStyle name="Normal 2 5 4" xfId="33"/>
    <cellStyle name="Normal 3" xfId="4"/>
    <cellStyle name="Normal 3 2" xfId="7"/>
    <cellStyle name="Normal 3 2 2" xfId="15"/>
    <cellStyle name="Normal 3 2 3" xfId="23"/>
    <cellStyle name="Normal 3 2 4" xfId="31"/>
    <cellStyle name="Normal 3 3" xfId="10"/>
    <cellStyle name="Normal 3 3 2" xfId="18"/>
    <cellStyle name="Normal 3 3 3" xfId="26"/>
    <cellStyle name="Normal 3 3 4" xfId="34"/>
    <cellStyle name="Normal 3 4" xfId="11"/>
    <cellStyle name="Normal 3 4 2" xfId="19"/>
    <cellStyle name="Normal 3 4 3" xfId="27"/>
    <cellStyle name="Normal 3 4 4" xfId="35"/>
    <cellStyle name="Normal 3 5" xfId="12"/>
    <cellStyle name="Normal 3 6" xfId="20"/>
    <cellStyle name="Normal 3 7" xfId="28"/>
    <cellStyle name="Normal 4" xfId="36"/>
    <cellStyle name="Normal 6" xfId="8"/>
    <cellStyle name="Normal 6 2" xfId="16"/>
    <cellStyle name="Normal 6 3" xfId="24"/>
    <cellStyle name="Normal 6 4" xfId="32"/>
  </cellStyles>
  <dxfs count="0"/>
  <tableStyles count="0" defaultTableStyle="TableStyleMedium9" defaultPivotStyle="PivotStyleLight16"/>
  <colors>
    <mruColors>
      <color rgb="FFFF0066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C81"/>
  <sheetViews>
    <sheetView topLeftCell="A4" zoomScale="90" zoomScaleNormal="90" workbookViewId="0">
      <selection activeCell="C74" sqref="C74"/>
    </sheetView>
  </sheetViews>
  <sheetFormatPr defaultColWidth="9.140625" defaultRowHeight="15"/>
  <cols>
    <col min="1" max="1" width="8.28515625" style="3" customWidth="1"/>
    <col min="2" max="2" width="14.140625" style="3" customWidth="1"/>
    <col min="3" max="3" width="33.42578125" style="4" customWidth="1"/>
    <col min="4" max="4" width="11.140625" style="3" customWidth="1"/>
    <col min="5" max="8" width="6.5703125" style="3" customWidth="1"/>
    <col min="9" max="12" width="6.5703125" style="36" customWidth="1"/>
    <col min="13" max="19" width="6.5703125" style="3" customWidth="1"/>
    <col min="20" max="29" width="7.42578125" style="1" customWidth="1"/>
    <col min="30" max="16384" width="9.140625" style="1"/>
  </cols>
  <sheetData>
    <row r="1" spans="1:29" ht="15.75">
      <c r="A1" s="133" t="s">
        <v>18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  <c r="AC1" s="133"/>
    </row>
    <row r="2" spans="1:29">
      <c r="A2" s="16" t="s">
        <v>21</v>
      </c>
      <c r="B2" s="12"/>
      <c r="C2" s="68">
        <v>6</v>
      </c>
      <c r="D2" s="130" t="s">
        <v>39</v>
      </c>
      <c r="E2" s="130"/>
      <c r="F2" s="59">
        <v>65</v>
      </c>
      <c r="S2" s="16" t="s">
        <v>22</v>
      </c>
      <c r="T2" s="21" t="s">
        <v>32</v>
      </c>
    </row>
    <row r="3" spans="1:29">
      <c r="A3" s="135" t="s">
        <v>24</v>
      </c>
      <c r="B3" s="135"/>
      <c r="C3" s="134" t="s">
        <v>167</v>
      </c>
      <c r="D3" s="134"/>
      <c r="E3" s="134"/>
      <c r="F3" s="134"/>
      <c r="G3" s="134"/>
      <c r="H3" s="134"/>
      <c r="S3" s="16" t="s">
        <v>23</v>
      </c>
      <c r="T3" s="136" t="s">
        <v>68</v>
      </c>
      <c r="U3" s="136"/>
      <c r="V3" s="136"/>
      <c r="W3" s="136"/>
      <c r="X3" s="136"/>
      <c r="Y3" s="136"/>
      <c r="Z3" s="136"/>
      <c r="AA3" s="136"/>
      <c r="AB3" s="136"/>
      <c r="AC3" s="136"/>
    </row>
    <row r="4" spans="1:29">
      <c r="A4" s="5"/>
      <c r="B4" s="5"/>
      <c r="C4" s="5"/>
      <c r="D4" s="2"/>
      <c r="E4" s="2"/>
      <c r="F4" s="2"/>
      <c r="G4" s="2"/>
      <c r="H4" s="2"/>
      <c r="I4" s="37"/>
      <c r="J4" s="37"/>
      <c r="K4" s="37"/>
      <c r="L4" s="37"/>
      <c r="M4" s="14"/>
      <c r="N4" s="14"/>
      <c r="O4" s="14"/>
      <c r="P4" s="14"/>
      <c r="Q4" s="14"/>
      <c r="R4" s="14"/>
      <c r="S4" s="14"/>
    </row>
    <row r="5" spans="1:29" ht="15" customHeight="1">
      <c r="A5" s="140" t="s">
        <v>16</v>
      </c>
      <c r="B5" s="140" t="s">
        <v>1</v>
      </c>
      <c r="C5" s="143" t="s">
        <v>15</v>
      </c>
      <c r="D5" s="18" t="s">
        <v>11</v>
      </c>
      <c r="E5" s="19">
        <v>1</v>
      </c>
      <c r="F5" s="19">
        <v>2</v>
      </c>
      <c r="G5" s="19">
        <v>3</v>
      </c>
      <c r="H5" s="19">
        <v>4</v>
      </c>
      <c r="I5" s="38">
        <v>5</v>
      </c>
      <c r="J5" s="38">
        <v>6</v>
      </c>
      <c r="K5" s="38">
        <v>7</v>
      </c>
      <c r="L5" s="39">
        <v>8</v>
      </c>
      <c r="M5" s="20">
        <v>9</v>
      </c>
      <c r="N5" s="20">
        <v>10</v>
      </c>
      <c r="O5" s="20">
        <v>11</v>
      </c>
      <c r="P5" s="20">
        <v>12</v>
      </c>
      <c r="Q5" s="20">
        <v>13</v>
      </c>
      <c r="R5" s="20">
        <v>14</v>
      </c>
      <c r="S5" s="20">
        <v>15</v>
      </c>
      <c r="T5" s="137" t="s">
        <v>20</v>
      </c>
      <c r="U5" s="138"/>
      <c r="V5" s="138"/>
      <c r="W5" s="138"/>
      <c r="X5" s="138"/>
      <c r="Y5" s="138"/>
      <c r="Z5" s="138"/>
      <c r="AA5" s="138"/>
      <c r="AB5" s="138"/>
      <c r="AC5" s="139"/>
    </row>
    <row r="6" spans="1:29" ht="21" customHeight="1">
      <c r="A6" s="141"/>
      <c r="B6" s="141"/>
      <c r="C6" s="144"/>
      <c r="D6" s="18" t="s">
        <v>13</v>
      </c>
      <c r="E6" s="17">
        <v>3</v>
      </c>
      <c r="F6" s="17">
        <v>3</v>
      </c>
      <c r="G6" s="17">
        <v>3</v>
      </c>
      <c r="H6" s="17">
        <v>3</v>
      </c>
      <c r="I6" s="17">
        <v>3</v>
      </c>
      <c r="J6" s="17">
        <v>5</v>
      </c>
      <c r="K6" s="17">
        <v>10</v>
      </c>
      <c r="L6" s="17">
        <v>10</v>
      </c>
      <c r="M6" s="17"/>
      <c r="N6" s="17"/>
      <c r="O6" s="17"/>
      <c r="P6" s="17"/>
      <c r="Q6" s="17"/>
      <c r="R6" s="17"/>
      <c r="S6" s="17"/>
      <c r="T6" s="18" t="s">
        <v>2</v>
      </c>
      <c r="U6" s="18" t="s">
        <v>3</v>
      </c>
      <c r="V6" s="18" t="s">
        <v>4</v>
      </c>
      <c r="W6" s="18" t="s">
        <v>5</v>
      </c>
      <c r="X6" s="18" t="s">
        <v>19</v>
      </c>
      <c r="Y6" s="18" t="s">
        <v>25</v>
      </c>
      <c r="Z6" s="18" t="s">
        <v>26</v>
      </c>
      <c r="AA6" s="18" t="s">
        <v>27</v>
      </c>
      <c r="AB6" s="18" t="s">
        <v>28</v>
      </c>
      <c r="AC6" s="18" t="s">
        <v>29</v>
      </c>
    </row>
    <row r="7" spans="1:29">
      <c r="A7" s="141"/>
      <c r="B7" s="141"/>
      <c r="C7" s="144"/>
      <c r="D7" s="146" t="s">
        <v>12</v>
      </c>
      <c r="E7" s="131">
        <v>3</v>
      </c>
      <c r="F7" s="131">
        <v>3</v>
      </c>
      <c r="G7" s="131">
        <v>1</v>
      </c>
      <c r="H7" s="131">
        <v>3</v>
      </c>
      <c r="I7" s="131">
        <v>3</v>
      </c>
      <c r="J7" s="131">
        <v>1</v>
      </c>
      <c r="K7" s="131">
        <v>2</v>
      </c>
      <c r="L7" s="131">
        <v>3</v>
      </c>
      <c r="M7" s="131"/>
      <c r="N7" s="131"/>
      <c r="O7" s="131"/>
      <c r="P7" s="131"/>
      <c r="Q7" s="131"/>
      <c r="R7" s="131"/>
      <c r="S7" s="131"/>
      <c r="T7" s="137" t="s">
        <v>14</v>
      </c>
      <c r="U7" s="138"/>
      <c r="V7" s="138"/>
      <c r="W7" s="138"/>
      <c r="X7" s="138"/>
      <c r="Y7" s="138"/>
      <c r="Z7" s="138"/>
      <c r="AA7" s="138"/>
      <c r="AB7" s="138"/>
      <c r="AC7" s="139"/>
    </row>
    <row r="8" spans="1:29" ht="21.75" customHeight="1">
      <c r="A8" s="142"/>
      <c r="B8" s="142"/>
      <c r="C8" s="145"/>
      <c r="D8" s="147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">
        <v>8</v>
      </c>
      <c r="U8" s="13">
        <v>10</v>
      </c>
      <c r="V8" s="13">
        <v>22</v>
      </c>
      <c r="W8" s="13">
        <v>0</v>
      </c>
      <c r="X8" s="13">
        <v>0</v>
      </c>
      <c r="Y8" s="13">
        <v>0</v>
      </c>
      <c r="Z8" s="15">
        <v>0</v>
      </c>
      <c r="AA8" s="15">
        <v>0</v>
      </c>
      <c r="AB8" s="15">
        <v>0</v>
      </c>
      <c r="AC8" s="13">
        <v>0</v>
      </c>
    </row>
    <row r="9" spans="1:29">
      <c r="A9" s="11">
        <v>201</v>
      </c>
      <c r="B9" s="115" t="s">
        <v>179</v>
      </c>
      <c r="C9" s="97" t="s">
        <v>102</v>
      </c>
      <c r="D9" s="6"/>
      <c r="E9" s="117">
        <v>2</v>
      </c>
      <c r="F9" s="117">
        <v>2</v>
      </c>
      <c r="G9" s="117">
        <v>1</v>
      </c>
      <c r="H9" s="117">
        <v>3</v>
      </c>
      <c r="I9" s="117"/>
      <c r="J9" s="117">
        <v>4</v>
      </c>
      <c r="K9" s="120"/>
      <c r="L9" s="25">
        <v>1</v>
      </c>
      <c r="M9" s="30"/>
      <c r="N9" s="30"/>
      <c r="O9" s="25"/>
      <c r="P9" s="25"/>
      <c r="Q9" s="22"/>
      <c r="R9" s="22"/>
      <c r="S9" s="22"/>
      <c r="T9" s="9">
        <v>5</v>
      </c>
      <c r="U9" s="9">
        <v>0</v>
      </c>
      <c r="V9" s="9">
        <v>8</v>
      </c>
      <c r="W9" s="9">
        <v>0</v>
      </c>
      <c r="X9" s="13">
        <v>0</v>
      </c>
      <c r="Y9" s="13">
        <v>0</v>
      </c>
      <c r="Z9" s="15">
        <v>0</v>
      </c>
      <c r="AA9" s="15">
        <v>0</v>
      </c>
      <c r="AB9" s="15">
        <v>0</v>
      </c>
      <c r="AC9" s="9">
        <v>0</v>
      </c>
    </row>
    <row r="10" spans="1:29">
      <c r="A10" s="11">
        <v>202</v>
      </c>
      <c r="B10" s="115" t="s">
        <v>180</v>
      </c>
      <c r="C10" s="97" t="s">
        <v>103</v>
      </c>
      <c r="D10" s="6"/>
      <c r="E10" s="117">
        <v>3</v>
      </c>
      <c r="F10" s="117">
        <v>2</v>
      </c>
      <c r="G10" s="117">
        <v>3</v>
      </c>
      <c r="H10" s="117">
        <v>3</v>
      </c>
      <c r="I10" s="117">
        <v>1</v>
      </c>
      <c r="J10" s="117">
        <v>1</v>
      </c>
      <c r="K10" s="120"/>
      <c r="L10" s="25">
        <v>1</v>
      </c>
      <c r="M10" s="30"/>
      <c r="N10" s="30"/>
      <c r="O10" s="25"/>
      <c r="P10" s="25"/>
      <c r="Q10" s="22"/>
      <c r="R10" s="22"/>
      <c r="S10" s="22"/>
      <c r="T10" s="9">
        <v>4</v>
      </c>
      <c r="U10" s="9">
        <v>0</v>
      </c>
      <c r="V10" s="9">
        <v>10</v>
      </c>
      <c r="W10" s="9">
        <v>0</v>
      </c>
      <c r="X10" s="13">
        <v>0</v>
      </c>
      <c r="Y10" s="13">
        <v>0</v>
      </c>
      <c r="Z10" s="15">
        <v>0</v>
      </c>
      <c r="AA10" s="15">
        <v>0</v>
      </c>
      <c r="AB10" s="15">
        <v>0</v>
      </c>
      <c r="AC10" s="9">
        <v>0</v>
      </c>
    </row>
    <row r="11" spans="1:29">
      <c r="A11" s="11">
        <v>203</v>
      </c>
      <c r="B11" s="115" t="s">
        <v>181</v>
      </c>
      <c r="C11" s="97" t="s">
        <v>104</v>
      </c>
      <c r="D11" s="6"/>
      <c r="E11" s="117">
        <v>1</v>
      </c>
      <c r="F11" s="117">
        <v>2</v>
      </c>
      <c r="G11" s="117">
        <v>0.5</v>
      </c>
      <c r="H11" s="117">
        <v>3</v>
      </c>
      <c r="I11" s="117">
        <v>2</v>
      </c>
      <c r="J11" s="117">
        <v>1.5</v>
      </c>
      <c r="K11" s="120">
        <v>2</v>
      </c>
      <c r="L11" s="25">
        <v>9</v>
      </c>
      <c r="M11" s="30"/>
      <c r="N11" s="30"/>
      <c r="O11" s="25"/>
      <c r="P11" s="25"/>
      <c r="Q11" s="22"/>
      <c r="R11" s="22"/>
      <c r="S11" s="22"/>
      <c r="T11" s="9">
        <v>2</v>
      </c>
      <c r="U11" s="9">
        <v>2</v>
      </c>
      <c r="V11" s="9">
        <v>17</v>
      </c>
      <c r="W11" s="9">
        <v>0</v>
      </c>
      <c r="X11" s="13">
        <v>0</v>
      </c>
      <c r="Y11" s="13">
        <v>0</v>
      </c>
      <c r="Z11" s="15">
        <v>0</v>
      </c>
      <c r="AA11" s="15">
        <v>0</v>
      </c>
      <c r="AB11" s="15">
        <v>0</v>
      </c>
      <c r="AC11" s="9">
        <v>0</v>
      </c>
    </row>
    <row r="12" spans="1:29">
      <c r="A12" s="11">
        <v>204</v>
      </c>
      <c r="B12" s="115" t="s">
        <v>182</v>
      </c>
      <c r="C12" s="97" t="s">
        <v>105</v>
      </c>
      <c r="D12" s="6"/>
      <c r="E12" s="117">
        <v>3</v>
      </c>
      <c r="F12" s="117">
        <v>2.5</v>
      </c>
      <c r="G12" s="117">
        <v>3</v>
      </c>
      <c r="H12" s="117">
        <v>3</v>
      </c>
      <c r="I12" s="117">
        <v>3</v>
      </c>
      <c r="J12" s="117">
        <v>4</v>
      </c>
      <c r="K12" s="120">
        <v>2</v>
      </c>
      <c r="L12" s="25">
        <v>10</v>
      </c>
      <c r="M12" s="30"/>
      <c r="N12" s="30"/>
      <c r="O12" s="25"/>
      <c r="P12" s="25"/>
      <c r="Q12" s="22"/>
      <c r="R12" s="22"/>
      <c r="S12" s="22"/>
      <c r="T12" s="9">
        <v>7</v>
      </c>
      <c r="U12" s="9">
        <v>2</v>
      </c>
      <c r="V12" s="9">
        <v>21.5</v>
      </c>
      <c r="W12" s="9">
        <v>0</v>
      </c>
      <c r="X12" s="13">
        <v>0</v>
      </c>
      <c r="Y12" s="13">
        <v>0</v>
      </c>
      <c r="Z12" s="15">
        <v>0</v>
      </c>
      <c r="AA12" s="15">
        <v>0</v>
      </c>
      <c r="AB12" s="15">
        <v>0</v>
      </c>
      <c r="AC12" s="9">
        <v>0</v>
      </c>
    </row>
    <row r="13" spans="1:29">
      <c r="A13" s="11">
        <v>205</v>
      </c>
      <c r="B13" s="115" t="s">
        <v>183</v>
      </c>
      <c r="C13" s="97" t="s">
        <v>106</v>
      </c>
      <c r="D13" s="6"/>
      <c r="E13" s="117">
        <v>2</v>
      </c>
      <c r="F13" s="117">
        <v>2</v>
      </c>
      <c r="G13" s="117">
        <v>0.5</v>
      </c>
      <c r="H13" s="117">
        <v>3</v>
      </c>
      <c r="I13" s="117"/>
      <c r="J13" s="117">
        <v>3</v>
      </c>
      <c r="K13" s="120"/>
      <c r="L13" s="25">
        <v>4</v>
      </c>
      <c r="M13" s="30"/>
      <c r="N13" s="30"/>
      <c r="O13" s="25"/>
      <c r="P13" s="25"/>
      <c r="Q13" s="22"/>
      <c r="R13" s="22"/>
      <c r="S13" s="22"/>
      <c r="T13" s="9">
        <v>3.5</v>
      </c>
      <c r="U13" s="9">
        <v>0</v>
      </c>
      <c r="V13" s="9">
        <v>11</v>
      </c>
      <c r="W13" s="9">
        <v>0</v>
      </c>
      <c r="X13" s="13">
        <v>0</v>
      </c>
      <c r="Y13" s="13">
        <v>0</v>
      </c>
      <c r="Z13" s="15">
        <v>0</v>
      </c>
      <c r="AA13" s="15">
        <v>0</v>
      </c>
      <c r="AB13" s="15">
        <v>0</v>
      </c>
      <c r="AC13" s="9">
        <v>0</v>
      </c>
    </row>
    <row r="14" spans="1:29">
      <c r="A14" s="11">
        <v>206</v>
      </c>
      <c r="B14" s="115" t="s">
        <v>184</v>
      </c>
      <c r="C14" s="97" t="s">
        <v>107</v>
      </c>
      <c r="D14" s="6"/>
      <c r="E14" s="117">
        <v>1</v>
      </c>
      <c r="F14" s="117"/>
      <c r="G14" s="117">
        <v>2</v>
      </c>
      <c r="H14" s="117">
        <v>3</v>
      </c>
      <c r="I14" s="117">
        <v>1.5</v>
      </c>
      <c r="J14" s="117">
        <v>2</v>
      </c>
      <c r="K14" s="120">
        <v>2</v>
      </c>
      <c r="L14" s="25">
        <v>2</v>
      </c>
      <c r="M14" s="30"/>
      <c r="N14" s="30"/>
      <c r="O14" s="25"/>
      <c r="P14" s="25"/>
      <c r="Q14" s="22"/>
      <c r="R14" s="22"/>
      <c r="S14" s="22"/>
      <c r="T14" s="9">
        <v>4</v>
      </c>
      <c r="U14" s="9">
        <v>2</v>
      </c>
      <c r="V14" s="9">
        <v>7.5</v>
      </c>
      <c r="W14" s="9">
        <v>0</v>
      </c>
      <c r="X14" s="13">
        <v>0</v>
      </c>
      <c r="Y14" s="13">
        <v>0</v>
      </c>
      <c r="Z14" s="15">
        <v>0</v>
      </c>
      <c r="AA14" s="15">
        <v>0</v>
      </c>
      <c r="AB14" s="15">
        <v>0</v>
      </c>
      <c r="AC14" s="9">
        <v>0</v>
      </c>
    </row>
    <row r="15" spans="1:29">
      <c r="A15" s="11">
        <v>207</v>
      </c>
      <c r="B15" s="115" t="s">
        <v>185</v>
      </c>
      <c r="C15" s="97" t="s">
        <v>108</v>
      </c>
      <c r="D15" s="6"/>
      <c r="E15" s="117"/>
      <c r="F15" s="117"/>
      <c r="G15" s="117"/>
      <c r="H15" s="117"/>
      <c r="I15" s="117"/>
      <c r="J15" s="117"/>
      <c r="K15" s="120"/>
      <c r="L15" s="25"/>
      <c r="M15" s="30"/>
      <c r="N15" s="30"/>
      <c r="O15" s="25"/>
      <c r="P15" s="25"/>
      <c r="Q15" s="22"/>
      <c r="R15" s="22"/>
      <c r="S15" s="22"/>
      <c r="T15" s="9">
        <v>0</v>
      </c>
      <c r="U15" s="9">
        <v>0</v>
      </c>
      <c r="V15" s="9">
        <v>0</v>
      </c>
      <c r="W15" s="9">
        <v>0</v>
      </c>
      <c r="X15" s="13">
        <v>0</v>
      </c>
      <c r="Y15" s="13">
        <v>0</v>
      </c>
      <c r="Z15" s="15">
        <v>0</v>
      </c>
      <c r="AA15" s="15">
        <v>0</v>
      </c>
      <c r="AB15" s="15">
        <v>0</v>
      </c>
      <c r="AC15" s="9">
        <v>0</v>
      </c>
    </row>
    <row r="16" spans="1:29">
      <c r="A16" s="11">
        <v>208</v>
      </c>
      <c r="B16" s="115" t="s">
        <v>186</v>
      </c>
      <c r="C16" s="97" t="s">
        <v>109</v>
      </c>
      <c r="D16" s="6"/>
      <c r="E16" s="117">
        <v>0.5</v>
      </c>
      <c r="F16" s="117">
        <v>1.5</v>
      </c>
      <c r="G16" s="117"/>
      <c r="H16" s="117">
        <v>3</v>
      </c>
      <c r="I16" s="117"/>
      <c r="J16" s="117"/>
      <c r="K16" s="120"/>
      <c r="L16" s="25">
        <v>3</v>
      </c>
      <c r="M16" s="30"/>
      <c r="N16" s="30"/>
      <c r="O16" s="25"/>
      <c r="P16" s="25"/>
      <c r="Q16" s="22"/>
      <c r="R16" s="22"/>
      <c r="S16" s="22"/>
      <c r="T16" s="9">
        <v>0</v>
      </c>
      <c r="U16" s="9">
        <v>0</v>
      </c>
      <c r="V16" s="9">
        <v>8</v>
      </c>
      <c r="W16" s="9">
        <v>0</v>
      </c>
      <c r="X16" s="13">
        <v>0</v>
      </c>
      <c r="Y16" s="13">
        <v>0</v>
      </c>
      <c r="Z16" s="15">
        <v>0</v>
      </c>
      <c r="AA16" s="15">
        <v>0</v>
      </c>
      <c r="AB16" s="15">
        <v>0</v>
      </c>
      <c r="AC16" s="9">
        <v>0</v>
      </c>
    </row>
    <row r="17" spans="1:29">
      <c r="A17" s="11">
        <v>209</v>
      </c>
      <c r="B17" s="115" t="s">
        <v>187</v>
      </c>
      <c r="C17" s="97" t="s">
        <v>110</v>
      </c>
      <c r="D17" s="6"/>
      <c r="E17" s="117"/>
      <c r="F17" s="117">
        <v>2</v>
      </c>
      <c r="G17" s="117">
        <v>2</v>
      </c>
      <c r="H17" s="117">
        <v>3</v>
      </c>
      <c r="I17" s="117"/>
      <c r="J17" s="117">
        <v>5</v>
      </c>
      <c r="K17" s="120">
        <v>2</v>
      </c>
      <c r="L17" s="25">
        <v>5</v>
      </c>
      <c r="M17" s="30"/>
      <c r="N17" s="30"/>
      <c r="O17" s="25"/>
      <c r="P17" s="25"/>
      <c r="Q17" s="22"/>
      <c r="R17" s="22"/>
      <c r="S17" s="22"/>
      <c r="T17" s="9">
        <v>7</v>
      </c>
      <c r="U17" s="9">
        <v>2</v>
      </c>
      <c r="V17" s="9">
        <v>10</v>
      </c>
      <c r="W17" s="9">
        <v>0</v>
      </c>
      <c r="X17" s="13">
        <v>0</v>
      </c>
      <c r="Y17" s="13">
        <v>0</v>
      </c>
      <c r="Z17" s="15">
        <v>0</v>
      </c>
      <c r="AA17" s="15">
        <v>0</v>
      </c>
      <c r="AB17" s="15">
        <v>0</v>
      </c>
      <c r="AC17" s="9">
        <v>0</v>
      </c>
    </row>
    <row r="18" spans="1:29">
      <c r="A18" s="11">
        <v>210</v>
      </c>
      <c r="B18" s="115" t="s">
        <v>188</v>
      </c>
      <c r="C18" s="97" t="s">
        <v>111</v>
      </c>
      <c r="D18" s="6"/>
      <c r="E18" s="117">
        <v>3</v>
      </c>
      <c r="F18" s="117">
        <v>3</v>
      </c>
      <c r="G18" s="117">
        <v>1</v>
      </c>
      <c r="H18" s="117">
        <v>3</v>
      </c>
      <c r="I18" s="117">
        <v>3</v>
      </c>
      <c r="J18" s="117">
        <v>5</v>
      </c>
      <c r="K18" s="120">
        <v>5</v>
      </c>
      <c r="L18" s="25">
        <v>10</v>
      </c>
      <c r="M18" s="30"/>
      <c r="N18" s="30"/>
      <c r="O18" s="25"/>
      <c r="P18" s="25"/>
      <c r="Q18" s="22"/>
      <c r="R18" s="22"/>
      <c r="S18" s="22"/>
      <c r="T18" s="9">
        <v>6</v>
      </c>
      <c r="U18" s="9">
        <v>5</v>
      </c>
      <c r="V18" s="9">
        <v>22</v>
      </c>
      <c r="W18" s="9">
        <v>0</v>
      </c>
      <c r="X18" s="13">
        <v>0</v>
      </c>
      <c r="Y18" s="13">
        <v>0</v>
      </c>
      <c r="Z18" s="15">
        <v>0</v>
      </c>
      <c r="AA18" s="15">
        <v>0</v>
      </c>
      <c r="AB18" s="15">
        <v>0</v>
      </c>
      <c r="AC18" s="9">
        <v>0</v>
      </c>
    </row>
    <row r="19" spans="1:29">
      <c r="A19" s="11">
        <v>211</v>
      </c>
      <c r="B19" s="115" t="s">
        <v>189</v>
      </c>
      <c r="C19" s="97" t="s">
        <v>112</v>
      </c>
      <c r="D19" s="6"/>
      <c r="E19" s="117">
        <v>3</v>
      </c>
      <c r="F19" s="117">
        <v>2</v>
      </c>
      <c r="G19" s="117">
        <v>1.5</v>
      </c>
      <c r="H19" s="117">
        <v>3</v>
      </c>
      <c r="I19" s="117">
        <v>3</v>
      </c>
      <c r="J19" s="117">
        <v>5</v>
      </c>
      <c r="K19" s="120">
        <v>4</v>
      </c>
      <c r="L19" s="25">
        <v>10</v>
      </c>
      <c r="M19" s="30"/>
      <c r="N19" s="30"/>
      <c r="O19" s="25"/>
      <c r="P19" s="25"/>
      <c r="Q19" s="22"/>
      <c r="R19" s="22"/>
      <c r="S19" s="22"/>
      <c r="T19" s="9">
        <v>6.5</v>
      </c>
      <c r="U19" s="9">
        <v>4</v>
      </c>
      <c r="V19" s="9">
        <v>21</v>
      </c>
      <c r="W19" s="9">
        <v>0</v>
      </c>
      <c r="X19" s="13">
        <v>0</v>
      </c>
      <c r="Y19" s="13">
        <v>0</v>
      </c>
      <c r="Z19" s="15">
        <v>0</v>
      </c>
      <c r="AA19" s="15">
        <v>0</v>
      </c>
      <c r="AB19" s="15">
        <v>0</v>
      </c>
      <c r="AC19" s="9">
        <v>0</v>
      </c>
    </row>
    <row r="20" spans="1:29">
      <c r="A20" s="11">
        <v>212</v>
      </c>
      <c r="B20" s="115" t="s">
        <v>190</v>
      </c>
      <c r="C20" s="97" t="s">
        <v>113</v>
      </c>
      <c r="D20" s="6"/>
      <c r="E20" s="117">
        <v>3</v>
      </c>
      <c r="F20" s="117">
        <v>2.5</v>
      </c>
      <c r="G20" s="117">
        <v>2</v>
      </c>
      <c r="H20" s="117">
        <v>3</v>
      </c>
      <c r="I20" s="117">
        <v>3</v>
      </c>
      <c r="J20" s="117">
        <v>1</v>
      </c>
      <c r="K20" s="120">
        <v>1</v>
      </c>
      <c r="L20" s="25">
        <v>10</v>
      </c>
      <c r="M20" s="30"/>
      <c r="N20" s="30"/>
      <c r="O20" s="25"/>
      <c r="P20" s="25"/>
      <c r="Q20" s="22"/>
      <c r="R20" s="22"/>
      <c r="S20" s="22"/>
      <c r="T20" s="9">
        <v>3</v>
      </c>
      <c r="U20" s="9">
        <v>1</v>
      </c>
      <c r="V20" s="9">
        <v>21.5</v>
      </c>
      <c r="W20" s="9">
        <v>0</v>
      </c>
      <c r="X20" s="13">
        <v>0</v>
      </c>
      <c r="Y20" s="13">
        <v>0</v>
      </c>
      <c r="Z20" s="15">
        <v>0</v>
      </c>
      <c r="AA20" s="15">
        <v>0</v>
      </c>
      <c r="AB20" s="15">
        <v>0</v>
      </c>
      <c r="AC20" s="9">
        <v>0</v>
      </c>
    </row>
    <row r="21" spans="1:29">
      <c r="A21" s="11">
        <v>213</v>
      </c>
      <c r="B21" s="115" t="s">
        <v>191</v>
      </c>
      <c r="C21" s="97" t="s">
        <v>114</v>
      </c>
      <c r="D21" s="6"/>
      <c r="E21" s="117"/>
      <c r="F21" s="117"/>
      <c r="G21" s="117"/>
      <c r="H21" s="117"/>
      <c r="I21" s="117"/>
      <c r="J21" s="117">
        <v>4</v>
      </c>
      <c r="K21" s="120"/>
      <c r="L21" s="25">
        <v>3</v>
      </c>
      <c r="M21" s="30"/>
      <c r="N21" s="30"/>
      <c r="O21" s="25"/>
      <c r="P21" s="25"/>
      <c r="Q21" s="22"/>
      <c r="R21" s="22"/>
      <c r="S21" s="22"/>
      <c r="T21" s="9">
        <v>4</v>
      </c>
      <c r="U21" s="9">
        <v>0</v>
      </c>
      <c r="V21" s="9">
        <v>3</v>
      </c>
      <c r="W21" s="9">
        <v>0</v>
      </c>
      <c r="X21" s="13">
        <v>0</v>
      </c>
      <c r="Y21" s="13">
        <v>0</v>
      </c>
      <c r="Z21" s="15">
        <v>0</v>
      </c>
      <c r="AA21" s="15">
        <v>0</v>
      </c>
      <c r="AB21" s="15">
        <v>0</v>
      </c>
      <c r="AC21" s="9">
        <v>0</v>
      </c>
    </row>
    <row r="22" spans="1:29">
      <c r="A22" s="11">
        <v>214</v>
      </c>
      <c r="B22" s="115" t="s">
        <v>192</v>
      </c>
      <c r="C22" s="97" t="s">
        <v>115</v>
      </c>
      <c r="D22" s="6"/>
      <c r="E22" s="117">
        <v>3</v>
      </c>
      <c r="F22" s="117">
        <v>3</v>
      </c>
      <c r="G22" s="117">
        <v>3</v>
      </c>
      <c r="H22" s="117">
        <v>3</v>
      </c>
      <c r="I22" s="117">
        <v>3</v>
      </c>
      <c r="J22" s="117">
        <v>3</v>
      </c>
      <c r="K22" s="120">
        <v>10</v>
      </c>
      <c r="L22" s="25">
        <v>8</v>
      </c>
      <c r="M22" s="30"/>
      <c r="N22" s="30"/>
      <c r="O22" s="25"/>
      <c r="P22" s="25"/>
      <c r="Q22" s="22"/>
      <c r="R22" s="22"/>
      <c r="S22" s="22"/>
      <c r="T22" s="9">
        <v>6</v>
      </c>
      <c r="U22" s="9">
        <v>10</v>
      </c>
      <c r="V22" s="9">
        <v>20</v>
      </c>
      <c r="W22" s="9">
        <v>0</v>
      </c>
      <c r="X22" s="13">
        <v>0</v>
      </c>
      <c r="Y22" s="13">
        <v>0</v>
      </c>
      <c r="Z22" s="15">
        <v>0</v>
      </c>
      <c r="AA22" s="15">
        <v>0</v>
      </c>
      <c r="AB22" s="15">
        <v>0</v>
      </c>
      <c r="AC22" s="9">
        <v>0</v>
      </c>
    </row>
    <row r="23" spans="1:29">
      <c r="A23" s="11">
        <v>215</v>
      </c>
      <c r="B23" s="115" t="s">
        <v>193</v>
      </c>
      <c r="C23" s="97" t="s">
        <v>116</v>
      </c>
      <c r="D23" s="6"/>
      <c r="E23" s="117">
        <v>3</v>
      </c>
      <c r="F23" s="117">
        <v>3</v>
      </c>
      <c r="G23" s="117">
        <v>1</v>
      </c>
      <c r="H23" s="117">
        <v>3</v>
      </c>
      <c r="I23" s="117">
        <v>3</v>
      </c>
      <c r="J23" s="117">
        <v>4</v>
      </c>
      <c r="K23" s="120"/>
      <c r="L23" s="25">
        <v>4</v>
      </c>
      <c r="M23" s="30"/>
      <c r="N23" s="30"/>
      <c r="O23" s="25"/>
      <c r="P23" s="25"/>
      <c r="Q23" s="22"/>
      <c r="R23" s="22"/>
      <c r="S23" s="22"/>
      <c r="T23" s="9">
        <v>5</v>
      </c>
      <c r="U23" s="9">
        <v>0</v>
      </c>
      <c r="V23" s="9">
        <v>16</v>
      </c>
      <c r="W23" s="9">
        <v>0</v>
      </c>
      <c r="X23" s="13">
        <v>0</v>
      </c>
      <c r="Y23" s="13">
        <v>0</v>
      </c>
      <c r="Z23" s="15">
        <v>0</v>
      </c>
      <c r="AA23" s="15">
        <v>0</v>
      </c>
      <c r="AB23" s="15">
        <v>0</v>
      </c>
      <c r="AC23" s="9">
        <v>0</v>
      </c>
    </row>
    <row r="24" spans="1:29">
      <c r="A24" s="11">
        <v>216</v>
      </c>
      <c r="B24" s="115" t="s">
        <v>194</v>
      </c>
      <c r="C24" s="97" t="s">
        <v>117</v>
      </c>
      <c r="D24" s="6"/>
      <c r="E24" s="117">
        <v>3</v>
      </c>
      <c r="F24" s="117">
        <v>2</v>
      </c>
      <c r="G24" s="117">
        <v>3</v>
      </c>
      <c r="H24" s="117">
        <v>3</v>
      </c>
      <c r="I24" s="117">
        <v>3</v>
      </c>
      <c r="J24" s="117">
        <v>3.5</v>
      </c>
      <c r="K24" s="117">
        <v>2</v>
      </c>
      <c r="L24" s="25">
        <v>10</v>
      </c>
      <c r="M24" s="30"/>
      <c r="N24" s="30"/>
      <c r="O24" s="25"/>
      <c r="P24" s="25"/>
      <c r="Q24" s="22"/>
      <c r="R24" s="22"/>
      <c r="S24" s="22"/>
      <c r="T24" s="9">
        <v>6.5</v>
      </c>
      <c r="U24" s="9">
        <v>2</v>
      </c>
      <c r="V24" s="9">
        <v>21</v>
      </c>
      <c r="W24" s="9">
        <v>0</v>
      </c>
      <c r="X24" s="13">
        <v>0</v>
      </c>
      <c r="Y24" s="13">
        <v>0</v>
      </c>
      <c r="Z24" s="15">
        <v>0</v>
      </c>
      <c r="AA24" s="15">
        <v>0</v>
      </c>
      <c r="AB24" s="15">
        <v>0</v>
      </c>
      <c r="AC24" s="9">
        <v>0</v>
      </c>
    </row>
    <row r="25" spans="1:29">
      <c r="A25" s="11">
        <v>217</v>
      </c>
      <c r="B25" s="115" t="s">
        <v>195</v>
      </c>
      <c r="C25" s="125" t="s">
        <v>118</v>
      </c>
      <c r="D25" s="6"/>
      <c r="E25" s="117">
        <v>2.5</v>
      </c>
      <c r="F25" s="117"/>
      <c r="G25" s="117"/>
      <c r="H25" s="117"/>
      <c r="I25" s="117"/>
      <c r="J25" s="117">
        <v>3</v>
      </c>
      <c r="K25" s="117">
        <v>1</v>
      </c>
      <c r="L25" s="25">
        <v>8</v>
      </c>
      <c r="M25" s="30"/>
      <c r="N25" s="30"/>
      <c r="O25" s="25"/>
      <c r="P25" s="25"/>
      <c r="Q25" s="22"/>
      <c r="R25" s="22"/>
      <c r="S25" s="22"/>
      <c r="T25" s="9">
        <v>3</v>
      </c>
      <c r="U25" s="9">
        <v>1</v>
      </c>
      <c r="V25" s="9">
        <v>10.5</v>
      </c>
      <c r="W25" s="9">
        <v>0</v>
      </c>
      <c r="X25" s="13">
        <v>0</v>
      </c>
      <c r="Y25" s="13">
        <v>0</v>
      </c>
      <c r="Z25" s="15">
        <v>0</v>
      </c>
      <c r="AA25" s="15">
        <v>0</v>
      </c>
      <c r="AB25" s="15">
        <v>0</v>
      </c>
      <c r="AC25" s="9">
        <v>0</v>
      </c>
    </row>
    <row r="26" spans="1:29">
      <c r="A26" s="11">
        <v>218</v>
      </c>
      <c r="B26" s="115" t="s">
        <v>196</v>
      </c>
      <c r="C26" s="97" t="s">
        <v>119</v>
      </c>
      <c r="D26" s="6"/>
      <c r="E26" s="117">
        <v>2</v>
      </c>
      <c r="F26" s="117">
        <v>0.5</v>
      </c>
      <c r="G26" s="117">
        <v>1</v>
      </c>
      <c r="H26" s="117">
        <v>2</v>
      </c>
      <c r="I26" s="117"/>
      <c r="J26" s="117"/>
      <c r="K26" s="117"/>
      <c r="L26" s="25">
        <v>3</v>
      </c>
      <c r="M26" s="30"/>
      <c r="N26" s="30"/>
      <c r="O26" s="25"/>
      <c r="P26" s="25"/>
      <c r="Q26" s="22"/>
      <c r="R26" s="22"/>
      <c r="S26" s="22"/>
      <c r="T26" s="9">
        <v>1</v>
      </c>
      <c r="U26" s="9">
        <v>0</v>
      </c>
      <c r="V26" s="9">
        <v>7.5</v>
      </c>
      <c r="W26" s="9">
        <v>0</v>
      </c>
      <c r="X26" s="13">
        <v>0</v>
      </c>
      <c r="Y26" s="13">
        <v>0</v>
      </c>
      <c r="Z26" s="15">
        <v>0</v>
      </c>
      <c r="AA26" s="15">
        <v>0</v>
      </c>
      <c r="AB26" s="15">
        <v>0</v>
      </c>
      <c r="AC26" s="9">
        <v>0</v>
      </c>
    </row>
    <row r="27" spans="1:29">
      <c r="A27" s="11">
        <v>219</v>
      </c>
      <c r="B27" s="115" t="s">
        <v>197</v>
      </c>
      <c r="C27" s="97" t="s">
        <v>120</v>
      </c>
      <c r="D27" s="6"/>
      <c r="E27" s="117"/>
      <c r="F27" s="117">
        <v>2</v>
      </c>
      <c r="G27" s="117">
        <v>1</v>
      </c>
      <c r="H27" s="117">
        <v>3</v>
      </c>
      <c r="I27" s="117"/>
      <c r="J27" s="117">
        <v>4</v>
      </c>
      <c r="K27" s="117"/>
      <c r="L27" s="25">
        <v>10</v>
      </c>
      <c r="M27" s="30"/>
      <c r="N27" s="30"/>
      <c r="O27" s="25"/>
      <c r="P27" s="25"/>
      <c r="Q27" s="22"/>
      <c r="R27" s="22"/>
      <c r="S27" s="22"/>
      <c r="T27" s="9">
        <v>5</v>
      </c>
      <c r="U27" s="9">
        <v>0</v>
      </c>
      <c r="V27" s="9">
        <v>15</v>
      </c>
      <c r="W27" s="9">
        <v>0</v>
      </c>
      <c r="X27" s="13">
        <v>0</v>
      </c>
      <c r="Y27" s="13">
        <v>0</v>
      </c>
      <c r="Z27" s="15">
        <v>0</v>
      </c>
      <c r="AA27" s="15">
        <v>0</v>
      </c>
      <c r="AB27" s="15">
        <v>0</v>
      </c>
      <c r="AC27" s="9">
        <v>0</v>
      </c>
    </row>
    <row r="28" spans="1:29">
      <c r="A28" s="11">
        <v>220</v>
      </c>
      <c r="B28" s="115" t="s">
        <v>198</v>
      </c>
      <c r="C28" s="97" t="s">
        <v>121</v>
      </c>
      <c r="D28" s="6"/>
      <c r="E28" s="117">
        <v>2</v>
      </c>
      <c r="F28" s="117">
        <v>2</v>
      </c>
      <c r="G28" s="117"/>
      <c r="H28" s="117">
        <v>3</v>
      </c>
      <c r="I28" s="117"/>
      <c r="J28" s="117">
        <v>4</v>
      </c>
      <c r="K28" s="117">
        <v>3</v>
      </c>
      <c r="L28" s="25">
        <v>10</v>
      </c>
      <c r="M28" s="30"/>
      <c r="N28" s="30"/>
      <c r="O28" s="30"/>
      <c r="P28" s="30"/>
      <c r="Q28" s="22"/>
      <c r="R28" s="22"/>
      <c r="S28" s="22"/>
      <c r="T28" s="9">
        <v>4</v>
      </c>
      <c r="U28" s="9">
        <v>3</v>
      </c>
      <c r="V28" s="9">
        <v>17</v>
      </c>
      <c r="W28" s="9">
        <v>0</v>
      </c>
      <c r="X28" s="13">
        <v>0</v>
      </c>
      <c r="Y28" s="13">
        <v>0</v>
      </c>
      <c r="Z28" s="15">
        <v>0</v>
      </c>
      <c r="AA28" s="15">
        <v>0</v>
      </c>
      <c r="AB28" s="15">
        <v>0</v>
      </c>
      <c r="AC28" s="9">
        <v>0</v>
      </c>
    </row>
    <row r="29" spans="1:29">
      <c r="A29" s="11">
        <v>221</v>
      </c>
      <c r="B29" s="115" t="s">
        <v>199</v>
      </c>
      <c r="C29" s="97" t="s">
        <v>122</v>
      </c>
      <c r="D29" s="6"/>
      <c r="E29" s="117">
        <v>3</v>
      </c>
      <c r="F29" s="117">
        <v>2</v>
      </c>
      <c r="G29" s="117">
        <v>3</v>
      </c>
      <c r="H29" s="117">
        <v>3</v>
      </c>
      <c r="I29" s="117">
        <v>3</v>
      </c>
      <c r="J29" s="117">
        <v>4</v>
      </c>
      <c r="K29" s="117">
        <v>3</v>
      </c>
      <c r="L29" s="25">
        <v>10</v>
      </c>
      <c r="M29" s="30"/>
      <c r="N29" s="30"/>
      <c r="O29" s="25"/>
      <c r="P29" s="25"/>
      <c r="Q29" s="22"/>
      <c r="R29" s="22"/>
      <c r="S29" s="22"/>
      <c r="T29" s="9">
        <v>7</v>
      </c>
      <c r="U29" s="9">
        <v>3</v>
      </c>
      <c r="V29" s="9">
        <v>21</v>
      </c>
      <c r="W29" s="9">
        <v>0</v>
      </c>
      <c r="X29" s="13">
        <v>0</v>
      </c>
      <c r="Y29" s="13">
        <v>0</v>
      </c>
      <c r="Z29" s="15">
        <v>0</v>
      </c>
      <c r="AA29" s="15">
        <v>0</v>
      </c>
      <c r="AB29" s="15">
        <v>0</v>
      </c>
      <c r="AC29" s="9">
        <v>0</v>
      </c>
    </row>
    <row r="30" spans="1:29">
      <c r="A30" s="11">
        <v>222</v>
      </c>
      <c r="B30" s="115" t="s">
        <v>200</v>
      </c>
      <c r="C30" s="97" t="s">
        <v>123</v>
      </c>
      <c r="D30" s="6"/>
      <c r="E30" s="117">
        <v>3</v>
      </c>
      <c r="F30" s="117">
        <v>1.5</v>
      </c>
      <c r="G30" s="117">
        <v>1</v>
      </c>
      <c r="H30" s="117">
        <v>3</v>
      </c>
      <c r="I30" s="117">
        <v>3</v>
      </c>
      <c r="J30" s="117">
        <v>4</v>
      </c>
      <c r="K30" s="117">
        <v>2</v>
      </c>
      <c r="L30" s="25">
        <v>9.5</v>
      </c>
      <c r="M30" s="30"/>
      <c r="N30" s="30"/>
      <c r="O30" s="25"/>
      <c r="P30" s="25"/>
      <c r="Q30" s="22"/>
      <c r="R30" s="22"/>
      <c r="S30" s="22"/>
      <c r="T30" s="9">
        <v>5</v>
      </c>
      <c r="U30" s="9">
        <v>2</v>
      </c>
      <c r="V30" s="9">
        <v>20</v>
      </c>
      <c r="W30" s="9">
        <v>0</v>
      </c>
      <c r="X30" s="13">
        <v>0</v>
      </c>
      <c r="Y30" s="13">
        <v>0</v>
      </c>
      <c r="Z30" s="15">
        <v>0</v>
      </c>
      <c r="AA30" s="15">
        <v>0</v>
      </c>
      <c r="AB30" s="15">
        <v>0</v>
      </c>
      <c r="AC30" s="9">
        <v>0</v>
      </c>
    </row>
    <row r="31" spans="1:29">
      <c r="A31" s="11">
        <v>223</v>
      </c>
      <c r="B31" s="115" t="s">
        <v>201</v>
      </c>
      <c r="C31" s="97" t="s">
        <v>124</v>
      </c>
      <c r="D31" s="6"/>
      <c r="E31" s="117">
        <v>1</v>
      </c>
      <c r="F31" s="117">
        <v>2</v>
      </c>
      <c r="G31" s="117">
        <v>1</v>
      </c>
      <c r="H31" s="117">
        <v>3</v>
      </c>
      <c r="I31" s="117"/>
      <c r="J31" s="117">
        <v>1</v>
      </c>
      <c r="K31" s="117"/>
      <c r="L31" s="25">
        <v>10</v>
      </c>
      <c r="M31" s="30"/>
      <c r="N31" s="30"/>
      <c r="O31" s="25"/>
      <c r="P31" s="25"/>
      <c r="Q31" s="22"/>
      <c r="R31" s="22"/>
      <c r="S31" s="22"/>
      <c r="T31" s="9">
        <v>2</v>
      </c>
      <c r="U31" s="9">
        <v>0</v>
      </c>
      <c r="V31" s="9">
        <v>16</v>
      </c>
      <c r="W31" s="9">
        <v>0</v>
      </c>
      <c r="X31" s="13">
        <v>0</v>
      </c>
      <c r="Y31" s="13">
        <v>0</v>
      </c>
      <c r="Z31" s="15">
        <v>0</v>
      </c>
      <c r="AA31" s="15">
        <v>0</v>
      </c>
      <c r="AB31" s="15">
        <v>0</v>
      </c>
      <c r="AC31" s="9">
        <v>0</v>
      </c>
    </row>
    <row r="32" spans="1:29">
      <c r="A32" s="11">
        <v>224</v>
      </c>
      <c r="B32" s="115" t="s">
        <v>202</v>
      </c>
      <c r="C32" s="97" t="s">
        <v>125</v>
      </c>
      <c r="D32" s="6"/>
      <c r="E32" s="117">
        <v>2</v>
      </c>
      <c r="F32" s="117">
        <v>2</v>
      </c>
      <c r="G32" s="117">
        <v>2</v>
      </c>
      <c r="H32" s="117">
        <v>3</v>
      </c>
      <c r="I32" s="36">
        <v>3</v>
      </c>
      <c r="J32" s="36">
        <v>5</v>
      </c>
      <c r="K32" s="117">
        <v>3</v>
      </c>
      <c r="L32" s="25">
        <v>10</v>
      </c>
      <c r="M32" s="30"/>
      <c r="N32" s="30"/>
      <c r="O32" s="30"/>
      <c r="P32" s="30"/>
      <c r="Q32" s="22"/>
      <c r="R32" s="22"/>
      <c r="S32" s="22"/>
      <c r="T32" s="9">
        <v>7</v>
      </c>
      <c r="U32" s="9">
        <v>3</v>
      </c>
      <c r="V32" s="9">
        <v>20</v>
      </c>
      <c r="W32" s="9">
        <v>0</v>
      </c>
      <c r="X32" s="13">
        <v>0</v>
      </c>
      <c r="Y32" s="13">
        <v>0</v>
      </c>
      <c r="Z32" s="15">
        <v>0</v>
      </c>
      <c r="AA32" s="15">
        <v>0</v>
      </c>
      <c r="AB32" s="15">
        <v>0</v>
      </c>
      <c r="AC32" s="9">
        <v>0</v>
      </c>
    </row>
    <row r="33" spans="1:29">
      <c r="A33" s="11">
        <v>225</v>
      </c>
      <c r="B33" s="115" t="s">
        <v>203</v>
      </c>
      <c r="C33" s="97" t="s">
        <v>126</v>
      </c>
      <c r="D33" s="6"/>
      <c r="E33" s="117">
        <v>2</v>
      </c>
      <c r="F33" s="117">
        <v>1</v>
      </c>
      <c r="G33" s="117">
        <v>2</v>
      </c>
      <c r="H33" s="117">
        <v>3</v>
      </c>
      <c r="I33" s="117">
        <v>3</v>
      </c>
      <c r="J33" s="117">
        <v>5</v>
      </c>
      <c r="K33" s="25">
        <v>2</v>
      </c>
      <c r="L33" s="25">
        <v>10</v>
      </c>
      <c r="M33" s="30"/>
      <c r="N33" s="30"/>
      <c r="O33" s="30"/>
      <c r="P33" s="30"/>
      <c r="Q33" s="22"/>
      <c r="R33" s="22"/>
      <c r="S33" s="22"/>
      <c r="T33" s="9">
        <v>7</v>
      </c>
      <c r="U33" s="9">
        <v>2</v>
      </c>
      <c r="V33" s="9">
        <v>19</v>
      </c>
      <c r="W33" s="9">
        <v>0</v>
      </c>
      <c r="X33" s="13">
        <v>0</v>
      </c>
      <c r="Y33" s="13">
        <v>0</v>
      </c>
      <c r="Z33" s="15">
        <v>0</v>
      </c>
      <c r="AA33" s="15">
        <v>0</v>
      </c>
      <c r="AB33" s="15">
        <v>0</v>
      </c>
      <c r="AC33" s="9">
        <v>0</v>
      </c>
    </row>
    <row r="34" spans="1:29">
      <c r="A34" s="11">
        <v>226</v>
      </c>
      <c r="B34" s="115" t="s">
        <v>204</v>
      </c>
      <c r="C34" s="97" t="s">
        <v>127</v>
      </c>
      <c r="D34" s="6"/>
      <c r="E34" s="117">
        <v>3</v>
      </c>
      <c r="F34" s="117">
        <v>2.5</v>
      </c>
      <c r="G34" s="117">
        <v>3</v>
      </c>
      <c r="H34" s="117">
        <v>2</v>
      </c>
      <c r="I34" s="117">
        <v>2.5</v>
      </c>
      <c r="J34" s="117">
        <v>4</v>
      </c>
      <c r="K34" s="25">
        <v>2</v>
      </c>
      <c r="L34" s="25">
        <v>9</v>
      </c>
      <c r="M34" s="30"/>
      <c r="N34" s="30"/>
      <c r="O34" s="25"/>
      <c r="P34" s="25"/>
      <c r="Q34" s="22"/>
      <c r="R34" s="22"/>
      <c r="S34" s="22"/>
      <c r="T34" s="9">
        <v>7</v>
      </c>
      <c r="U34" s="9">
        <v>2</v>
      </c>
      <c r="V34" s="9">
        <v>19</v>
      </c>
      <c r="W34" s="9">
        <v>0</v>
      </c>
      <c r="X34" s="13">
        <v>0</v>
      </c>
      <c r="Y34" s="13">
        <v>0</v>
      </c>
      <c r="Z34" s="15">
        <v>0</v>
      </c>
      <c r="AA34" s="15">
        <v>0</v>
      </c>
      <c r="AB34" s="15">
        <v>0</v>
      </c>
      <c r="AC34" s="9">
        <v>0</v>
      </c>
    </row>
    <row r="35" spans="1:29">
      <c r="A35" s="11">
        <v>227</v>
      </c>
      <c r="B35" s="115" t="s">
        <v>205</v>
      </c>
      <c r="C35" s="97" t="s">
        <v>128</v>
      </c>
      <c r="D35" s="6"/>
      <c r="E35" s="117">
        <v>3</v>
      </c>
      <c r="F35" s="117">
        <v>2</v>
      </c>
      <c r="G35" s="117">
        <v>3</v>
      </c>
      <c r="H35" s="117">
        <v>1</v>
      </c>
      <c r="I35" s="117"/>
      <c r="J35" s="117">
        <v>4</v>
      </c>
      <c r="K35" s="25">
        <v>2</v>
      </c>
      <c r="L35" s="25">
        <v>6</v>
      </c>
      <c r="M35" s="30"/>
      <c r="N35" s="30"/>
      <c r="O35" s="25"/>
      <c r="P35" s="25"/>
      <c r="Q35" s="22"/>
      <c r="R35" s="22"/>
      <c r="S35" s="22"/>
      <c r="T35" s="9">
        <v>7</v>
      </c>
      <c r="U35" s="9">
        <v>2</v>
      </c>
      <c r="V35" s="9">
        <v>12</v>
      </c>
      <c r="W35" s="9">
        <v>0</v>
      </c>
      <c r="X35" s="13">
        <v>0</v>
      </c>
      <c r="Y35" s="13">
        <v>0</v>
      </c>
      <c r="Z35" s="15">
        <v>0</v>
      </c>
      <c r="AA35" s="15">
        <v>0</v>
      </c>
      <c r="AB35" s="15">
        <v>0</v>
      </c>
      <c r="AC35" s="9">
        <v>0</v>
      </c>
    </row>
    <row r="36" spans="1:29">
      <c r="A36" s="11">
        <v>228</v>
      </c>
      <c r="B36" s="115" t="s">
        <v>206</v>
      </c>
      <c r="C36" s="97" t="s">
        <v>129</v>
      </c>
      <c r="D36" s="6"/>
      <c r="E36" s="117">
        <v>1</v>
      </c>
      <c r="F36" s="117">
        <v>1</v>
      </c>
      <c r="G36" s="117">
        <v>2</v>
      </c>
      <c r="H36" s="117">
        <v>3</v>
      </c>
      <c r="I36" s="117">
        <v>3</v>
      </c>
      <c r="J36" s="117"/>
      <c r="K36" s="25"/>
      <c r="L36" s="25">
        <v>5</v>
      </c>
      <c r="M36" s="30"/>
      <c r="N36" s="30"/>
      <c r="O36" s="25"/>
      <c r="P36" s="25"/>
      <c r="Q36" s="22"/>
      <c r="R36" s="22"/>
      <c r="S36" s="22"/>
      <c r="T36" s="9">
        <v>2</v>
      </c>
      <c r="U36" s="9">
        <v>0</v>
      </c>
      <c r="V36" s="9">
        <v>13</v>
      </c>
      <c r="W36" s="9">
        <v>0</v>
      </c>
      <c r="X36" s="13">
        <v>0</v>
      </c>
      <c r="Y36" s="13">
        <v>0</v>
      </c>
      <c r="Z36" s="15">
        <v>0</v>
      </c>
      <c r="AA36" s="15">
        <v>0</v>
      </c>
      <c r="AB36" s="15">
        <v>0</v>
      </c>
      <c r="AC36" s="9">
        <v>0</v>
      </c>
    </row>
    <row r="37" spans="1:29">
      <c r="A37" s="11">
        <v>229</v>
      </c>
      <c r="B37" s="115" t="s">
        <v>207</v>
      </c>
      <c r="C37" s="97" t="s">
        <v>130</v>
      </c>
      <c r="D37" s="6"/>
      <c r="E37" s="117">
        <v>3</v>
      </c>
      <c r="F37" s="117">
        <v>2</v>
      </c>
      <c r="G37" s="117">
        <v>3</v>
      </c>
      <c r="H37" s="117">
        <v>3</v>
      </c>
      <c r="I37" s="117">
        <v>3</v>
      </c>
      <c r="J37" s="117">
        <v>3</v>
      </c>
      <c r="K37" s="25">
        <v>9</v>
      </c>
      <c r="L37" s="25">
        <v>7</v>
      </c>
      <c r="M37" s="30"/>
      <c r="N37" s="30"/>
      <c r="O37" s="25"/>
      <c r="P37" s="25"/>
      <c r="Q37" s="22"/>
      <c r="R37" s="22"/>
      <c r="S37" s="22"/>
      <c r="T37" s="9">
        <v>6</v>
      </c>
      <c r="U37" s="9">
        <v>9</v>
      </c>
      <c r="V37" s="9">
        <v>18</v>
      </c>
      <c r="W37" s="9">
        <v>0</v>
      </c>
      <c r="X37" s="13">
        <v>0</v>
      </c>
      <c r="Y37" s="13">
        <v>0</v>
      </c>
      <c r="Z37" s="15">
        <v>0</v>
      </c>
      <c r="AA37" s="15">
        <v>0</v>
      </c>
      <c r="AB37" s="15">
        <v>0</v>
      </c>
      <c r="AC37" s="9">
        <v>0</v>
      </c>
    </row>
    <row r="38" spans="1:29">
      <c r="A38" s="11">
        <v>230</v>
      </c>
      <c r="B38" s="115" t="s">
        <v>208</v>
      </c>
      <c r="C38" s="97" t="s">
        <v>131</v>
      </c>
      <c r="D38" s="6"/>
      <c r="E38" s="117">
        <v>3</v>
      </c>
      <c r="F38" s="117">
        <v>2</v>
      </c>
      <c r="G38" s="117">
        <v>3</v>
      </c>
      <c r="H38" s="117">
        <v>3</v>
      </c>
      <c r="I38" s="117">
        <v>3</v>
      </c>
      <c r="J38" s="117">
        <v>4</v>
      </c>
      <c r="K38" s="25"/>
      <c r="L38" s="25">
        <v>6</v>
      </c>
      <c r="M38" s="30"/>
      <c r="N38" s="30"/>
      <c r="O38" s="30"/>
      <c r="P38" s="30"/>
      <c r="Q38" s="22"/>
      <c r="R38" s="22"/>
      <c r="S38" s="22"/>
      <c r="T38" s="9">
        <v>7</v>
      </c>
      <c r="U38" s="9">
        <v>0</v>
      </c>
      <c r="V38" s="9">
        <v>17</v>
      </c>
      <c r="W38" s="9">
        <v>0</v>
      </c>
      <c r="X38" s="13">
        <v>0</v>
      </c>
      <c r="Y38" s="13">
        <v>0</v>
      </c>
      <c r="Z38" s="15">
        <v>0</v>
      </c>
      <c r="AA38" s="15">
        <v>0</v>
      </c>
      <c r="AB38" s="15">
        <v>0</v>
      </c>
      <c r="AC38" s="9">
        <v>0</v>
      </c>
    </row>
    <row r="39" spans="1:29">
      <c r="A39" s="11">
        <v>231</v>
      </c>
      <c r="B39" s="115" t="s">
        <v>209</v>
      </c>
      <c r="C39" s="97" t="s">
        <v>132</v>
      </c>
      <c r="D39" s="6"/>
      <c r="E39" s="117"/>
      <c r="F39" s="117">
        <v>1</v>
      </c>
      <c r="G39" s="117">
        <v>1</v>
      </c>
      <c r="H39" s="117"/>
      <c r="I39" s="117"/>
      <c r="J39" s="117"/>
      <c r="K39" s="25"/>
      <c r="L39" s="25"/>
      <c r="M39" s="30"/>
      <c r="N39" s="30"/>
      <c r="O39" s="25"/>
      <c r="P39" s="25"/>
      <c r="Q39" s="22"/>
      <c r="R39" s="22"/>
      <c r="S39" s="22"/>
      <c r="T39" s="9">
        <v>1</v>
      </c>
      <c r="U39" s="9">
        <v>0</v>
      </c>
      <c r="V39" s="9">
        <v>1</v>
      </c>
      <c r="W39" s="9">
        <v>0</v>
      </c>
      <c r="X39" s="13">
        <v>0</v>
      </c>
      <c r="Y39" s="13">
        <v>0</v>
      </c>
      <c r="Z39" s="15">
        <v>0</v>
      </c>
      <c r="AA39" s="15">
        <v>0</v>
      </c>
      <c r="AB39" s="15">
        <v>0</v>
      </c>
      <c r="AC39" s="9">
        <v>0</v>
      </c>
    </row>
    <row r="40" spans="1:29">
      <c r="A40" s="11">
        <v>232</v>
      </c>
      <c r="B40" s="115" t="s">
        <v>210</v>
      </c>
      <c r="C40" s="97" t="s">
        <v>133</v>
      </c>
      <c r="D40" s="6"/>
      <c r="E40" s="117">
        <v>2</v>
      </c>
      <c r="F40" s="117">
        <v>2</v>
      </c>
      <c r="G40" s="117">
        <v>3</v>
      </c>
      <c r="H40" s="117">
        <v>3</v>
      </c>
      <c r="I40" s="117">
        <v>3</v>
      </c>
      <c r="J40" s="117">
        <v>5</v>
      </c>
      <c r="K40" s="25">
        <v>4</v>
      </c>
      <c r="L40" s="25">
        <v>10</v>
      </c>
      <c r="M40" s="30"/>
      <c r="N40" s="30"/>
      <c r="O40" s="25"/>
      <c r="P40" s="25"/>
      <c r="Q40" s="22"/>
      <c r="R40" s="22"/>
      <c r="S40" s="22"/>
      <c r="T40" s="9">
        <v>8</v>
      </c>
      <c r="U40" s="9">
        <v>4</v>
      </c>
      <c r="V40" s="9">
        <v>20</v>
      </c>
      <c r="W40" s="9">
        <v>0</v>
      </c>
      <c r="X40" s="13">
        <v>0</v>
      </c>
      <c r="Y40" s="13">
        <v>0</v>
      </c>
      <c r="Z40" s="15">
        <v>0</v>
      </c>
      <c r="AA40" s="15">
        <v>0</v>
      </c>
      <c r="AB40" s="15">
        <v>0</v>
      </c>
      <c r="AC40" s="9">
        <v>0</v>
      </c>
    </row>
    <row r="41" spans="1:29">
      <c r="A41" s="11">
        <v>233</v>
      </c>
      <c r="B41" s="115" t="s">
        <v>211</v>
      </c>
      <c r="C41" s="97" t="s">
        <v>134</v>
      </c>
      <c r="D41" s="6"/>
      <c r="E41" s="117">
        <v>1</v>
      </c>
      <c r="F41" s="117">
        <v>2</v>
      </c>
      <c r="G41" s="117">
        <v>1</v>
      </c>
      <c r="H41" s="117">
        <v>2</v>
      </c>
      <c r="I41" s="117">
        <v>3</v>
      </c>
      <c r="J41" s="117">
        <v>5</v>
      </c>
      <c r="K41" s="25">
        <v>8</v>
      </c>
      <c r="L41" s="25">
        <v>10</v>
      </c>
      <c r="M41" s="30"/>
      <c r="N41" s="30"/>
      <c r="O41" s="25"/>
      <c r="P41" s="25"/>
      <c r="Q41" s="22"/>
      <c r="R41" s="22"/>
      <c r="S41" s="22"/>
      <c r="T41" s="9">
        <v>6</v>
      </c>
      <c r="U41" s="9">
        <v>8</v>
      </c>
      <c r="V41" s="9">
        <v>18</v>
      </c>
      <c r="W41" s="9">
        <v>0</v>
      </c>
      <c r="X41" s="13">
        <v>0</v>
      </c>
      <c r="Y41" s="13">
        <v>0</v>
      </c>
      <c r="Z41" s="15">
        <v>0</v>
      </c>
      <c r="AA41" s="15">
        <v>0</v>
      </c>
      <c r="AB41" s="15">
        <v>0</v>
      </c>
      <c r="AC41" s="9">
        <v>0</v>
      </c>
    </row>
    <row r="42" spans="1:29">
      <c r="A42" s="11">
        <v>234</v>
      </c>
      <c r="B42" s="115" t="s">
        <v>212</v>
      </c>
      <c r="C42" s="97" t="s">
        <v>135</v>
      </c>
      <c r="D42" s="6"/>
      <c r="E42" s="117">
        <v>2</v>
      </c>
      <c r="F42" s="117"/>
      <c r="G42" s="117">
        <v>2</v>
      </c>
      <c r="H42" s="117">
        <v>3</v>
      </c>
      <c r="I42" s="117">
        <v>3</v>
      </c>
      <c r="J42" s="117">
        <v>5</v>
      </c>
      <c r="K42" s="25">
        <v>2</v>
      </c>
      <c r="L42" s="25">
        <v>7</v>
      </c>
      <c r="M42" s="30"/>
      <c r="N42" s="30"/>
      <c r="O42" s="30"/>
      <c r="P42" s="30"/>
      <c r="Q42" s="22"/>
      <c r="R42" s="22"/>
      <c r="S42" s="22"/>
      <c r="T42" s="9">
        <v>7</v>
      </c>
      <c r="U42" s="9">
        <v>2</v>
      </c>
      <c r="V42" s="9">
        <v>15</v>
      </c>
      <c r="W42" s="9">
        <v>0</v>
      </c>
      <c r="X42" s="13">
        <v>0</v>
      </c>
      <c r="Y42" s="13">
        <v>0</v>
      </c>
      <c r="Z42" s="15">
        <v>0</v>
      </c>
      <c r="AA42" s="15">
        <v>0</v>
      </c>
      <c r="AB42" s="15">
        <v>0</v>
      </c>
      <c r="AC42" s="9">
        <v>0</v>
      </c>
    </row>
    <row r="43" spans="1:29">
      <c r="A43" s="11">
        <v>235</v>
      </c>
      <c r="B43" s="115" t="s">
        <v>213</v>
      </c>
      <c r="C43" s="97" t="s">
        <v>136</v>
      </c>
      <c r="D43" s="6"/>
      <c r="E43" s="117">
        <v>2</v>
      </c>
      <c r="F43" s="117">
        <v>2</v>
      </c>
      <c r="G43" s="117">
        <v>3</v>
      </c>
      <c r="H43" s="117">
        <v>3</v>
      </c>
      <c r="I43" s="117">
        <v>3</v>
      </c>
      <c r="J43" s="117">
        <v>4</v>
      </c>
      <c r="K43" s="25"/>
      <c r="L43" s="25">
        <v>9</v>
      </c>
      <c r="M43" s="30"/>
      <c r="N43" s="30"/>
      <c r="O43" s="25"/>
      <c r="P43" s="25"/>
      <c r="Q43" s="22"/>
      <c r="R43" s="22"/>
      <c r="S43" s="22"/>
      <c r="T43" s="9">
        <v>7</v>
      </c>
      <c r="U43" s="9">
        <v>0</v>
      </c>
      <c r="V43" s="9">
        <v>19</v>
      </c>
      <c r="W43" s="9">
        <v>0</v>
      </c>
      <c r="X43" s="13">
        <v>0</v>
      </c>
      <c r="Y43" s="13">
        <v>0</v>
      </c>
      <c r="Z43" s="15">
        <v>0</v>
      </c>
      <c r="AA43" s="15">
        <v>0</v>
      </c>
      <c r="AB43" s="15">
        <v>0</v>
      </c>
      <c r="AC43" s="9">
        <v>0</v>
      </c>
    </row>
    <row r="44" spans="1:29">
      <c r="A44" s="11">
        <v>236</v>
      </c>
      <c r="B44" s="115" t="s">
        <v>214</v>
      </c>
      <c r="C44" s="97" t="s">
        <v>137</v>
      </c>
      <c r="D44" s="6"/>
      <c r="E44" s="117">
        <v>1</v>
      </c>
      <c r="F44" s="117">
        <v>2</v>
      </c>
      <c r="G44" s="117">
        <v>1</v>
      </c>
      <c r="H44" s="117">
        <v>3</v>
      </c>
      <c r="I44" s="117">
        <v>3</v>
      </c>
      <c r="J44" s="117">
        <v>3</v>
      </c>
      <c r="K44" s="25">
        <v>1</v>
      </c>
      <c r="L44" s="25">
        <v>7</v>
      </c>
      <c r="M44" s="30"/>
      <c r="N44" s="30"/>
      <c r="O44" s="25"/>
      <c r="P44" s="25"/>
      <c r="Q44" s="22"/>
      <c r="R44" s="22"/>
      <c r="S44" s="22"/>
      <c r="T44" s="9">
        <v>4</v>
      </c>
      <c r="U44" s="9">
        <v>1</v>
      </c>
      <c r="V44" s="9">
        <v>16</v>
      </c>
      <c r="W44" s="9">
        <v>0</v>
      </c>
      <c r="X44" s="13">
        <v>0</v>
      </c>
      <c r="Y44" s="13">
        <v>0</v>
      </c>
      <c r="Z44" s="15">
        <v>0</v>
      </c>
      <c r="AA44" s="15">
        <v>0</v>
      </c>
      <c r="AB44" s="15">
        <v>0</v>
      </c>
      <c r="AC44" s="9">
        <v>0</v>
      </c>
    </row>
    <row r="45" spans="1:29">
      <c r="A45" s="11">
        <v>237</v>
      </c>
      <c r="B45" s="115" t="s">
        <v>215</v>
      </c>
      <c r="C45" s="97" t="s">
        <v>138</v>
      </c>
      <c r="D45" s="6"/>
      <c r="E45" s="117">
        <v>2</v>
      </c>
      <c r="F45" s="117">
        <v>2</v>
      </c>
      <c r="G45" s="117">
        <v>2</v>
      </c>
      <c r="H45" s="117">
        <v>3</v>
      </c>
      <c r="I45" s="117">
        <v>3</v>
      </c>
      <c r="J45" s="117"/>
      <c r="K45" s="25"/>
      <c r="L45" s="25">
        <v>10</v>
      </c>
      <c r="M45" s="30"/>
      <c r="N45" s="30"/>
      <c r="O45" s="25"/>
      <c r="P45" s="25"/>
      <c r="Q45" s="22"/>
      <c r="R45" s="22"/>
      <c r="S45" s="22"/>
      <c r="T45" s="9">
        <v>2</v>
      </c>
      <c r="U45" s="9">
        <v>0</v>
      </c>
      <c r="V45" s="9">
        <v>20</v>
      </c>
      <c r="W45" s="9">
        <v>0</v>
      </c>
      <c r="X45" s="13">
        <v>0</v>
      </c>
      <c r="Y45" s="13">
        <v>0</v>
      </c>
      <c r="Z45" s="15">
        <v>0</v>
      </c>
      <c r="AA45" s="15">
        <v>0</v>
      </c>
      <c r="AB45" s="15">
        <v>0</v>
      </c>
      <c r="AC45" s="9">
        <v>0</v>
      </c>
    </row>
    <row r="46" spans="1:29">
      <c r="A46" s="11">
        <v>238</v>
      </c>
      <c r="B46" s="115" t="s">
        <v>216</v>
      </c>
      <c r="C46" s="97" t="s">
        <v>139</v>
      </c>
      <c r="D46" s="6"/>
      <c r="E46" s="117">
        <v>2</v>
      </c>
      <c r="F46" s="117">
        <v>2</v>
      </c>
      <c r="G46" s="117">
        <v>3</v>
      </c>
      <c r="H46" s="117">
        <v>2</v>
      </c>
      <c r="I46" s="117">
        <v>3</v>
      </c>
      <c r="J46" s="117">
        <v>3</v>
      </c>
      <c r="K46" s="25">
        <v>1</v>
      </c>
      <c r="L46" s="25">
        <v>1</v>
      </c>
      <c r="M46" s="30"/>
      <c r="N46" s="30"/>
      <c r="O46" s="25"/>
      <c r="P46" s="25"/>
      <c r="Q46" s="22"/>
      <c r="R46" s="22"/>
      <c r="S46" s="22"/>
      <c r="T46" s="9">
        <v>6</v>
      </c>
      <c r="U46" s="9">
        <v>1</v>
      </c>
      <c r="V46" s="9">
        <v>10</v>
      </c>
      <c r="W46" s="9">
        <v>0</v>
      </c>
      <c r="X46" s="13">
        <v>0</v>
      </c>
      <c r="Y46" s="13">
        <v>0</v>
      </c>
      <c r="Z46" s="15">
        <v>0</v>
      </c>
      <c r="AA46" s="15">
        <v>0</v>
      </c>
      <c r="AB46" s="15">
        <v>0</v>
      </c>
      <c r="AC46" s="9">
        <v>0</v>
      </c>
    </row>
    <row r="47" spans="1:29">
      <c r="A47" s="11">
        <v>239</v>
      </c>
      <c r="B47" s="115" t="s">
        <v>217</v>
      </c>
      <c r="C47" s="97" t="s">
        <v>140</v>
      </c>
      <c r="D47" s="6"/>
      <c r="E47" s="117"/>
      <c r="F47" s="117">
        <v>2</v>
      </c>
      <c r="G47" s="117"/>
      <c r="H47" s="117"/>
      <c r="I47" s="117"/>
      <c r="J47" s="117">
        <v>2</v>
      </c>
      <c r="K47" s="25"/>
      <c r="L47" s="25">
        <v>8</v>
      </c>
      <c r="M47" s="30"/>
      <c r="N47" s="30"/>
      <c r="O47" s="25"/>
      <c r="P47" s="25"/>
      <c r="Q47" s="22"/>
      <c r="R47" s="22"/>
      <c r="S47" s="22"/>
      <c r="T47" s="9">
        <v>2</v>
      </c>
      <c r="U47" s="9">
        <v>0</v>
      </c>
      <c r="V47" s="9">
        <v>10</v>
      </c>
      <c r="W47" s="9">
        <v>0</v>
      </c>
      <c r="X47" s="13">
        <v>0</v>
      </c>
      <c r="Y47" s="13">
        <v>0</v>
      </c>
      <c r="Z47" s="15">
        <v>0</v>
      </c>
      <c r="AA47" s="15">
        <v>0</v>
      </c>
      <c r="AB47" s="15">
        <v>0</v>
      </c>
      <c r="AC47" s="9">
        <v>0</v>
      </c>
    </row>
    <row r="48" spans="1:29">
      <c r="A48" s="11">
        <v>240</v>
      </c>
      <c r="B48" s="115" t="s">
        <v>218</v>
      </c>
      <c r="C48" s="97" t="s">
        <v>141</v>
      </c>
      <c r="D48" s="6"/>
      <c r="E48" s="117">
        <v>2</v>
      </c>
      <c r="F48" s="117">
        <v>2</v>
      </c>
      <c r="G48" s="117">
        <v>3</v>
      </c>
      <c r="H48" s="117">
        <v>3</v>
      </c>
      <c r="I48" s="117">
        <v>3</v>
      </c>
      <c r="J48" s="117">
        <v>5</v>
      </c>
      <c r="K48" s="25">
        <v>3</v>
      </c>
      <c r="L48" s="25">
        <v>10</v>
      </c>
      <c r="M48" s="30"/>
      <c r="N48" s="30"/>
      <c r="O48" s="25"/>
      <c r="P48" s="25"/>
      <c r="Q48" s="22"/>
      <c r="R48" s="22"/>
      <c r="S48" s="22"/>
      <c r="T48" s="9">
        <v>8</v>
      </c>
      <c r="U48" s="9">
        <v>3</v>
      </c>
      <c r="V48" s="9">
        <v>20</v>
      </c>
      <c r="W48" s="9">
        <v>0</v>
      </c>
      <c r="X48" s="13">
        <v>0</v>
      </c>
      <c r="Y48" s="13">
        <v>0</v>
      </c>
      <c r="Z48" s="15">
        <v>0</v>
      </c>
      <c r="AA48" s="15">
        <v>0</v>
      </c>
      <c r="AB48" s="15">
        <v>0</v>
      </c>
      <c r="AC48" s="9">
        <v>0</v>
      </c>
    </row>
    <row r="49" spans="1:29">
      <c r="A49" s="11">
        <v>241</v>
      </c>
      <c r="B49" s="115" t="s">
        <v>219</v>
      </c>
      <c r="C49" s="97" t="s">
        <v>142</v>
      </c>
      <c r="D49" s="6"/>
      <c r="E49" s="117">
        <v>2</v>
      </c>
      <c r="F49" s="117">
        <v>2</v>
      </c>
      <c r="G49" s="117">
        <v>0.5</v>
      </c>
      <c r="H49" s="117">
        <v>3</v>
      </c>
      <c r="I49" s="117">
        <v>3</v>
      </c>
      <c r="J49" s="117">
        <v>1</v>
      </c>
      <c r="K49" s="25">
        <v>2</v>
      </c>
      <c r="L49" s="25">
        <v>5</v>
      </c>
      <c r="M49" s="30"/>
      <c r="N49" s="30"/>
      <c r="O49" s="25"/>
      <c r="P49" s="25"/>
      <c r="Q49" s="22"/>
      <c r="R49" s="22"/>
      <c r="S49" s="22"/>
      <c r="T49" s="9">
        <v>1.5</v>
      </c>
      <c r="U49" s="9">
        <v>2</v>
      </c>
      <c r="V49" s="9">
        <v>15</v>
      </c>
      <c r="W49" s="9">
        <v>0</v>
      </c>
      <c r="X49" s="13">
        <v>0</v>
      </c>
      <c r="Y49" s="13">
        <v>0</v>
      </c>
      <c r="Z49" s="15">
        <v>0</v>
      </c>
      <c r="AA49" s="15">
        <v>0</v>
      </c>
      <c r="AB49" s="15">
        <v>0</v>
      </c>
      <c r="AC49" s="9">
        <v>0</v>
      </c>
    </row>
    <row r="50" spans="1:29">
      <c r="A50" s="11">
        <v>242</v>
      </c>
      <c r="B50" s="115" t="s">
        <v>220</v>
      </c>
      <c r="C50" s="97" t="s">
        <v>143</v>
      </c>
      <c r="D50" s="6"/>
      <c r="E50" s="117">
        <v>2</v>
      </c>
      <c r="F50" s="117">
        <v>2.5</v>
      </c>
      <c r="G50" s="117">
        <v>2</v>
      </c>
      <c r="H50" s="117">
        <v>3</v>
      </c>
      <c r="I50" s="117">
        <v>3</v>
      </c>
      <c r="J50" s="117"/>
      <c r="K50" s="25">
        <v>2</v>
      </c>
      <c r="L50" s="25">
        <v>5</v>
      </c>
      <c r="M50" s="30"/>
      <c r="N50" s="30"/>
      <c r="O50" s="25"/>
      <c r="P50" s="25"/>
      <c r="Q50" s="22"/>
      <c r="R50" s="22"/>
      <c r="S50" s="22"/>
      <c r="T50" s="9">
        <v>2</v>
      </c>
      <c r="U50" s="9">
        <v>2</v>
      </c>
      <c r="V50" s="9">
        <v>15.5</v>
      </c>
      <c r="W50" s="9">
        <v>0</v>
      </c>
      <c r="X50" s="13">
        <v>0</v>
      </c>
      <c r="Y50" s="13">
        <v>0</v>
      </c>
      <c r="Z50" s="15">
        <v>0</v>
      </c>
      <c r="AA50" s="15">
        <v>0</v>
      </c>
      <c r="AB50" s="15">
        <v>0</v>
      </c>
      <c r="AC50" s="9">
        <v>0</v>
      </c>
    </row>
    <row r="51" spans="1:29">
      <c r="A51" s="11">
        <v>243</v>
      </c>
      <c r="B51" s="115" t="s">
        <v>221</v>
      </c>
      <c r="C51" s="97" t="s">
        <v>144</v>
      </c>
      <c r="D51" s="6"/>
      <c r="E51" s="117">
        <v>3</v>
      </c>
      <c r="F51" s="117">
        <v>2</v>
      </c>
      <c r="G51" s="117">
        <v>3</v>
      </c>
      <c r="H51" s="117">
        <v>3</v>
      </c>
      <c r="I51" s="117">
        <v>3</v>
      </c>
      <c r="J51" s="117">
        <v>5</v>
      </c>
      <c r="K51" s="25"/>
      <c r="L51" s="25">
        <v>6</v>
      </c>
      <c r="M51" s="30"/>
      <c r="N51" s="30"/>
      <c r="O51" s="25"/>
      <c r="P51" s="25"/>
      <c r="Q51" s="22"/>
      <c r="R51" s="22"/>
      <c r="S51" s="22"/>
      <c r="T51" s="9">
        <v>8</v>
      </c>
      <c r="U51" s="9">
        <v>0</v>
      </c>
      <c r="V51" s="9">
        <v>17</v>
      </c>
      <c r="W51" s="9">
        <v>0</v>
      </c>
      <c r="X51" s="13">
        <v>0</v>
      </c>
      <c r="Y51" s="13">
        <v>0</v>
      </c>
      <c r="Z51" s="15">
        <v>0</v>
      </c>
      <c r="AA51" s="15">
        <v>0</v>
      </c>
      <c r="AB51" s="15">
        <v>0</v>
      </c>
      <c r="AC51" s="9">
        <v>0</v>
      </c>
    </row>
    <row r="52" spans="1:29">
      <c r="A52" s="11">
        <v>244</v>
      </c>
      <c r="B52" s="115" t="s">
        <v>222</v>
      </c>
      <c r="C52" s="97" t="s">
        <v>145</v>
      </c>
      <c r="D52" s="6"/>
      <c r="E52" s="117">
        <v>3</v>
      </c>
      <c r="F52" s="117">
        <v>2</v>
      </c>
      <c r="G52" s="117">
        <v>1</v>
      </c>
      <c r="H52" s="117">
        <v>3</v>
      </c>
      <c r="I52" s="117">
        <v>3</v>
      </c>
      <c r="J52" s="117">
        <v>4</v>
      </c>
      <c r="K52" s="25">
        <v>3</v>
      </c>
      <c r="L52" s="25">
        <v>10</v>
      </c>
      <c r="M52" s="30"/>
      <c r="N52" s="30"/>
      <c r="O52" s="25"/>
      <c r="P52" s="25"/>
      <c r="Q52" s="22"/>
      <c r="R52" s="22"/>
      <c r="S52" s="22"/>
      <c r="T52" s="9">
        <v>5</v>
      </c>
      <c r="U52" s="9">
        <v>3</v>
      </c>
      <c r="V52" s="9">
        <v>21</v>
      </c>
      <c r="W52" s="9">
        <v>0</v>
      </c>
      <c r="X52" s="13">
        <v>0</v>
      </c>
      <c r="Y52" s="13">
        <v>0</v>
      </c>
      <c r="Z52" s="15">
        <v>0</v>
      </c>
      <c r="AA52" s="15">
        <v>0</v>
      </c>
      <c r="AB52" s="15">
        <v>0</v>
      </c>
      <c r="AC52" s="9">
        <v>0</v>
      </c>
    </row>
    <row r="53" spans="1:29">
      <c r="A53" s="11">
        <v>245</v>
      </c>
      <c r="B53" s="115" t="s">
        <v>223</v>
      </c>
      <c r="C53" s="97" t="s">
        <v>146</v>
      </c>
      <c r="D53" s="6"/>
      <c r="E53" s="117">
        <v>3</v>
      </c>
      <c r="F53" s="117">
        <v>3</v>
      </c>
      <c r="G53" s="117">
        <v>3</v>
      </c>
      <c r="H53" s="117">
        <v>3</v>
      </c>
      <c r="I53" s="117">
        <v>3</v>
      </c>
      <c r="J53" s="117">
        <v>5</v>
      </c>
      <c r="K53" s="25">
        <v>4</v>
      </c>
      <c r="L53" s="25">
        <v>7</v>
      </c>
      <c r="M53" s="30"/>
      <c r="N53" s="30"/>
      <c r="O53" s="25"/>
      <c r="P53" s="25"/>
      <c r="Q53" s="22"/>
      <c r="R53" s="22"/>
      <c r="S53" s="22"/>
      <c r="T53" s="9">
        <v>8</v>
      </c>
      <c r="U53" s="9">
        <v>4</v>
      </c>
      <c r="V53" s="9">
        <v>19</v>
      </c>
      <c r="W53" s="9">
        <v>0</v>
      </c>
      <c r="X53" s="13">
        <v>0</v>
      </c>
      <c r="Y53" s="13">
        <v>0</v>
      </c>
      <c r="Z53" s="15">
        <v>0</v>
      </c>
      <c r="AA53" s="15">
        <v>0</v>
      </c>
      <c r="AB53" s="15">
        <v>0</v>
      </c>
      <c r="AC53" s="9">
        <v>0</v>
      </c>
    </row>
    <row r="54" spans="1:29">
      <c r="A54" s="11">
        <v>246</v>
      </c>
      <c r="B54" s="115" t="s">
        <v>224</v>
      </c>
      <c r="C54" s="97" t="s">
        <v>147</v>
      </c>
      <c r="D54" s="6"/>
      <c r="E54" s="117">
        <v>0</v>
      </c>
      <c r="F54" s="117">
        <v>2</v>
      </c>
      <c r="G54" s="117"/>
      <c r="H54" s="117"/>
      <c r="I54" s="117"/>
      <c r="J54" s="117"/>
      <c r="K54" s="25"/>
      <c r="L54" s="25">
        <v>1</v>
      </c>
      <c r="M54" s="30"/>
      <c r="N54" s="30"/>
      <c r="O54" s="25"/>
      <c r="P54" s="25"/>
      <c r="Q54" s="22"/>
      <c r="R54" s="22"/>
      <c r="S54" s="22"/>
      <c r="T54" s="9">
        <v>0</v>
      </c>
      <c r="U54" s="9">
        <v>0</v>
      </c>
      <c r="V54" s="9">
        <v>3</v>
      </c>
      <c r="W54" s="9">
        <v>0</v>
      </c>
      <c r="X54" s="13">
        <v>0</v>
      </c>
      <c r="Y54" s="13">
        <v>0</v>
      </c>
      <c r="Z54" s="15">
        <v>0</v>
      </c>
      <c r="AA54" s="15">
        <v>0</v>
      </c>
      <c r="AB54" s="15">
        <v>0</v>
      </c>
      <c r="AC54" s="9">
        <v>0</v>
      </c>
    </row>
    <row r="55" spans="1:29">
      <c r="A55" s="11">
        <v>247</v>
      </c>
      <c r="B55" s="115" t="s">
        <v>225</v>
      </c>
      <c r="C55" s="97" t="s">
        <v>148</v>
      </c>
      <c r="D55" s="6"/>
      <c r="E55" s="117"/>
      <c r="F55" s="117"/>
      <c r="G55" s="117"/>
      <c r="H55" s="117"/>
      <c r="I55" s="117"/>
      <c r="J55" s="117"/>
      <c r="K55" s="25"/>
      <c r="L55" s="25"/>
      <c r="M55" s="30"/>
      <c r="N55" s="30"/>
      <c r="O55" s="25"/>
      <c r="P55" s="25"/>
      <c r="Q55" s="22"/>
      <c r="R55" s="22"/>
      <c r="S55" s="22"/>
      <c r="T55" s="9">
        <v>0</v>
      </c>
      <c r="U55" s="9">
        <v>0</v>
      </c>
      <c r="V55" s="9">
        <v>0</v>
      </c>
      <c r="W55" s="9">
        <v>0</v>
      </c>
      <c r="X55" s="13">
        <v>0</v>
      </c>
      <c r="Y55" s="13">
        <v>0</v>
      </c>
      <c r="Z55" s="15">
        <v>0</v>
      </c>
      <c r="AA55" s="15">
        <v>0</v>
      </c>
      <c r="AB55" s="15">
        <v>0</v>
      </c>
      <c r="AC55" s="9">
        <v>0</v>
      </c>
    </row>
    <row r="56" spans="1:29">
      <c r="A56" s="11">
        <v>248</v>
      </c>
      <c r="B56" s="115" t="s">
        <v>226</v>
      </c>
      <c r="C56" s="97" t="s">
        <v>149</v>
      </c>
      <c r="D56" s="6"/>
      <c r="E56" s="117"/>
      <c r="F56" s="117">
        <v>0.5</v>
      </c>
      <c r="G56" s="117"/>
      <c r="H56" s="117">
        <v>3</v>
      </c>
      <c r="I56" s="117"/>
      <c r="J56" s="117">
        <v>3</v>
      </c>
      <c r="K56" s="25"/>
      <c r="L56" s="25">
        <v>2</v>
      </c>
      <c r="M56" s="30"/>
      <c r="N56" s="30"/>
      <c r="O56" s="25"/>
      <c r="P56" s="25"/>
      <c r="Q56" s="22"/>
      <c r="R56" s="22"/>
      <c r="S56" s="22"/>
      <c r="T56" s="9">
        <v>3</v>
      </c>
      <c r="U56" s="9">
        <v>0</v>
      </c>
      <c r="V56" s="9">
        <v>5.5</v>
      </c>
      <c r="W56" s="9">
        <v>0</v>
      </c>
      <c r="X56" s="13">
        <v>0</v>
      </c>
      <c r="Y56" s="13">
        <v>0</v>
      </c>
      <c r="Z56" s="15">
        <v>0</v>
      </c>
      <c r="AA56" s="15">
        <v>0</v>
      </c>
      <c r="AB56" s="15">
        <v>0</v>
      </c>
      <c r="AC56" s="9">
        <v>0</v>
      </c>
    </row>
    <row r="57" spans="1:29">
      <c r="A57" s="11">
        <v>249</v>
      </c>
      <c r="B57" s="115" t="s">
        <v>227</v>
      </c>
      <c r="C57" s="97" t="s">
        <v>150</v>
      </c>
      <c r="D57" s="6"/>
      <c r="E57" s="117">
        <v>1</v>
      </c>
      <c r="F57" s="117">
        <v>2</v>
      </c>
      <c r="G57" s="117">
        <v>0.5</v>
      </c>
      <c r="H57" s="117">
        <v>3</v>
      </c>
      <c r="I57" s="117">
        <v>3</v>
      </c>
      <c r="J57" s="117">
        <v>4</v>
      </c>
      <c r="K57" s="25">
        <v>2</v>
      </c>
      <c r="L57" s="25">
        <v>9</v>
      </c>
      <c r="M57" s="30"/>
      <c r="N57" s="30"/>
      <c r="O57" s="25"/>
      <c r="P57" s="25"/>
      <c r="Q57" s="22"/>
      <c r="R57" s="22"/>
      <c r="S57" s="22"/>
      <c r="T57" s="9">
        <v>4.5</v>
      </c>
      <c r="U57" s="9">
        <v>2</v>
      </c>
      <c r="V57" s="9">
        <v>18</v>
      </c>
      <c r="W57" s="9">
        <v>0</v>
      </c>
      <c r="X57" s="13">
        <v>0</v>
      </c>
      <c r="Y57" s="13">
        <v>0</v>
      </c>
      <c r="Z57" s="15">
        <v>0</v>
      </c>
      <c r="AA57" s="15">
        <v>0</v>
      </c>
      <c r="AB57" s="15">
        <v>0</v>
      </c>
      <c r="AC57" s="9">
        <v>0</v>
      </c>
    </row>
    <row r="58" spans="1:29">
      <c r="A58" s="11">
        <v>250</v>
      </c>
      <c r="B58" s="115" t="s">
        <v>228</v>
      </c>
      <c r="C58" s="97" t="s">
        <v>151</v>
      </c>
      <c r="D58" s="6"/>
      <c r="E58" s="117">
        <v>1</v>
      </c>
      <c r="F58" s="117">
        <v>2</v>
      </c>
      <c r="G58" s="117">
        <v>2</v>
      </c>
      <c r="H58" s="117">
        <v>3</v>
      </c>
      <c r="I58" s="117">
        <v>3</v>
      </c>
      <c r="J58" s="117">
        <v>5</v>
      </c>
      <c r="K58" s="25">
        <v>7</v>
      </c>
      <c r="L58" s="25">
        <v>10</v>
      </c>
      <c r="M58" s="30"/>
      <c r="N58" s="30"/>
      <c r="O58" s="25"/>
      <c r="P58" s="25"/>
      <c r="Q58" s="22"/>
      <c r="R58" s="22"/>
      <c r="S58" s="22"/>
      <c r="T58" s="9">
        <v>7</v>
      </c>
      <c r="U58" s="9">
        <v>7</v>
      </c>
      <c r="V58" s="9">
        <v>19</v>
      </c>
      <c r="W58" s="9">
        <v>0</v>
      </c>
      <c r="X58" s="13">
        <v>0</v>
      </c>
      <c r="Y58" s="13">
        <v>0</v>
      </c>
      <c r="Z58" s="15">
        <v>0</v>
      </c>
      <c r="AA58" s="15">
        <v>0</v>
      </c>
      <c r="AB58" s="15">
        <v>0</v>
      </c>
      <c r="AC58" s="9">
        <v>0</v>
      </c>
    </row>
    <row r="59" spans="1:29">
      <c r="A59" s="11">
        <v>251</v>
      </c>
      <c r="B59" s="115" t="s">
        <v>229</v>
      </c>
      <c r="C59" s="97" t="s">
        <v>152</v>
      </c>
      <c r="D59" s="6"/>
      <c r="E59" s="117">
        <v>2</v>
      </c>
      <c r="F59" s="117">
        <v>0.5</v>
      </c>
      <c r="G59" s="117">
        <v>1</v>
      </c>
      <c r="H59" s="117">
        <v>3</v>
      </c>
      <c r="I59" s="117">
        <v>1</v>
      </c>
      <c r="J59" s="117"/>
      <c r="K59" s="25"/>
      <c r="L59" s="25">
        <v>5</v>
      </c>
      <c r="M59" s="30"/>
      <c r="N59" s="30"/>
      <c r="O59" s="25"/>
      <c r="P59" s="25"/>
      <c r="Q59" s="22"/>
      <c r="R59" s="22"/>
      <c r="S59" s="22"/>
      <c r="T59" s="9">
        <v>1</v>
      </c>
      <c r="U59" s="9">
        <v>0</v>
      </c>
      <c r="V59" s="9">
        <v>11.5</v>
      </c>
      <c r="W59" s="9">
        <v>0</v>
      </c>
      <c r="X59" s="13">
        <v>0</v>
      </c>
      <c r="Y59" s="13">
        <v>0</v>
      </c>
      <c r="Z59" s="15">
        <v>0</v>
      </c>
      <c r="AA59" s="15">
        <v>0</v>
      </c>
      <c r="AB59" s="15">
        <v>0</v>
      </c>
      <c r="AC59" s="9">
        <v>0</v>
      </c>
    </row>
    <row r="60" spans="1:29">
      <c r="A60" s="11">
        <v>252</v>
      </c>
      <c r="B60" s="115" t="s">
        <v>230</v>
      </c>
      <c r="C60" s="97" t="s">
        <v>153</v>
      </c>
      <c r="D60" s="6"/>
      <c r="E60" s="117">
        <v>0.5</v>
      </c>
      <c r="F60" s="117">
        <v>2</v>
      </c>
      <c r="G60" s="117">
        <v>0.5</v>
      </c>
      <c r="H60" s="117">
        <v>2</v>
      </c>
      <c r="I60" s="117"/>
      <c r="J60" s="117">
        <v>1</v>
      </c>
      <c r="K60" s="25"/>
      <c r="L60" s="25">
        <v>10</v>
      </c>
      <c r="M60" s="30"/>
      <c r="N60" s="30"/>
      <c r="O60" s="30"/>
      <c r="P60" s="30"/>
      <c r="Q60" s="22"/>
      <c r="R60" s="22"/>
      <c r="S60" s="22"/>
      <c r="T60" s="9">
        <v>1.5</v>
      </c>
      <c r="U60" s="9">
        <v>0</v>
      </c>
      <c r="V60" s="9">
        <v>14.5</v>
      </c>
      <c r="W60" s="9">
        <v>0</v>
      </c>
      <c r="X60" s="13">
        <v>0</v>
      </c>
      <c r="Y60" s="13">
        <v>0</v>
      </c>
      <c r="Z60" s="15">
        <v>0</v>
      </c>
      <c r="AA60" s="15">
        <v>0</v>
      </c>
      <c r="AB60" s="15">
        <v>0</v>
      </c>
      <c r="AC60" s="9">
        <v>0</v>
      </c>
    </row>
    <row r="61" spans="1:29">
      <c r="A61" s="11">
        <v>253</v>
      </c>
      <c r="B61" s="115" t="s">
        <v>231</v>
      </c>
      <c r="C61" s="97" t="s">
        <v>154</v>
      </c>
      <c r="D61" s="6"/>
      <c r="E61" s="117">
        <v>2</v>
      </c>
      <c r="F61" s="117">
        <v>2</v>
      </c>
      <c r="G61" s="117">
        <v>1</v>
      </c>
      <c r="H61" s="117"/>
      <c r="I61" s="117">
        <v>2</v>
      </c>
      <c r="J61" s="117">
        <v>2</v>
      </c>
      <c r="K61" s="25"/>
      <c r="L61" s="25">
        <v>10</v>
      </c>
      <c r="M61" s="30"/>
      <c r="N61" s="30"/>
      <c r="O61" s="25"/>
      <c r="P61" s="25"/>
      <c r="Q61" s="22"/>
      <c r="R61" s="22"/>
      <c r="S61" s="22"/>
      <c r="T61" s="9">
        <v>3</v>
      </c>
      <c r="U61" s="9">
        <v>0</v>
      </c>
      <c r="V61" s="9">
        <v>16</v>
      </c>
      <c r="W61" s="9">
        <v>0</v>
      </c>
      <c r="X61" s="13">
        <v>0</v>
      </c>
      <c r="Y61" s="13">
        <v>0</v>
      </c>
      <c r="Z61" s="15">
        <v>0</v>
      </c>
      <c r="AA61" s="15">
        <v>0</v>
      </c>
      <c r="AB61" s="15">
        <v>0</v>
      </c>
      <c r="AC61" s="9">
        <v>0</v>
      </c>
    </row>
    <row r="62" spans="1:29">
      <c r="A62" s="11">
        <v>254</v>
      </c>
      <c r="B62" s="115" t="s">
        <v>232</v>
      </c>
      <c r="C62" s="97" t="s">
        <v>155</v>
      </c>
      <c r="D62" s="6"/>
      <c r="E62" s="117">
        <v>2</v>
      </c>
      <c r="F62" s="117">
        <v>1</v>
      </c>
      <c r="G62" s="117">
        <v>2</v>
      </c>
      <c r="H62" s="117">
        <v>3</v>
      </c>
      <c r="I62" s="117">
        <v>3</v>
      </c>
      <c r="J62" s="117">
        <v>5</v>
      </c>
      <c r="K62" s="25"/>
      <c r="L62" s="25">
        <v>10</v>
      </c>
      <c r="M62" s="30"/>
      <c r="N62" s="30"/>
      <c r="O62" s="25"/>
      <c r="P62" s="25"/>
      <c r="Q62" s="22"/>
      <c r="R62" s="22"/>
      <c r="S62" s="22"/>
      <c r="T62" s="9">
        <v>7</v>
      </c>
      <c r="U62" s="9">
        <v>0</v>
      </c>
      <c r="V62" s="9">
        <v>19</v>
      </c>
      <c r="W62" s="9">
        <v>0</v>
      </c>
      <c r="X62" s="13">
        <v>0</v>
      </c>
      <c r="Y62" s="13">
        <v>0</v>
      </c>
      <c r="Z62" s="15">
        <v>0</v>
      </c>
      <c r="AA62" s="15">
        <v>0</v>
      </c>
      <c r="AB62" s="15">
        <v>0</v>
      </c>
      <c r="AC62" s="9">
        <v>0</v>
      </c>
    </row>
    <row r="63" spans="1:29">
      <c r="A63" s="11">
        <v>255</v>
      </c>
      <c r="B63" s="115" t="s">
        <v>233</v>
      </c>
      <c r="C63" s="97" t="s">
        <v>156</v>
      </c>
      <c r="D63" s="6"/>
      <c r="E63" s="117">
        <v>2</v>
      </c>
      <c r="F63" s="117">
        <v>2</v>
      </c>
      <c r="G63" s="117">
        <v>3</v>
      </c>
      <c r="H63" s="117">
        <v>3</v>
      </c>
      <c r="I63" s="117">
        <v>2</v>
      </c>
      <c r="J63" s="117">
        <v>3</v>
      </c>
      <c r="K63" s="25">
        <v>4</v>
      </c>
      <c r="L63" s="25">
        <v>10</v>
      </c>
      <c r="M63" s="30"/>
      <c r="N63" s="30"/>
      <c r="O63" s="25"/>
      <c r="P63" s="25"/>
      <c r="Q63" s="22"/>
      <c r="R63" s="22"/>
      <c r="S63" s="22"/>
      <c r="T63" s="9">
        <v>6</v>
      </c>
      <c r="U63" s="9">
        <v>4</v>
      </c>
      <c r="V63" s="9">
        <v>19</v>
      </c>
      <c r="W63" s="9">
        <v>0</v>
      </c>
      <c r="X63" s="13">
        <v>0</v>
      </c>
      <c r="Y63" s="13">
        <v>0</v>
      </c>
      <c r="Z63" s="15">
        <v>0</v>
      </c>
      <c r="AA63" s="15">
        <v>0</v>
      </c>
      <c r="AB63" s="15">
        <v>0</v>
      </c>
      <c r="AC63" s="9">
        <v>0</v>
      </c>
    </row>
    <row r="64" spans="1:29">
      <c r="A64" s="11">
        <v>256</v>
      </c>
      <c r="B64" s="115" t="s">
        <v>234</v>
      </c>
      <c r="C64" s="97" t="s">
        <v>157</v>
      </c>
      <c r="D64" s="6"/>
      <c r="E64" s="117">
        <v>0.5</v>
      </c>
      <c r="F64" s="117">
        <v>2</v>
      </c>
      <c r="G64" s="117">
        <v>1</v>
      </c>
      <c r="H64" s="117">
        <v>3</v>
      </c>
      <c r="I64" s="117"/>
      <c r="J64" s="117">
        <v>2</v>
      </c>
      <c r="K64" s="25"/>
      <c r="L64" s="25">
        <v>8</v>
      </c>
      <c r="M64" s="30"/>
      <c r="N64" s="30"/>
      <c r="O64" s="30"/>
      <c r="P64" s="30"/>
      <c r="Q64" s="22"/>
      <c r="R64" s="22"/>
      <c r="S64" s="22"/>
      <c r="T64" s="9">
        <v>3</v>
      </c>
      <c r="U64" s="9">
        <v>0</v>
      </c>
      <c r="V64" s="9">
        <v>13.5</v>
      </c>
      <c r="W64" s="9">
        <v>0</v>
      </c>
      <c r="X64" s="13">
        <v>0</v>
      </c>
      <c r="Y64" s="13">
        <v>0</v>
      </c>
      <c r="Z64" s="15">
        <v>0</v>
      </c>
      <c r="AA64" s="15">
        <v>0</v>
      </c>
      <c r="AB64" s="15">
        <v>0</v>
      </c>
      <c r="AC64" s="9">
        <v>0</v>
      </c>
    </row>
    <row r="65" spans="1:29">
      <c r="A65" s="11">
        <v>257</v>
      </c>
      <c r="B65" s="115" t="s">
        <v>235</v>
      </c>
      <c r="C65" s="97" t="s">
        <v>158</v>
      </c>
      <c r="D65" s="6"/>
      <c r="E65" s="117">
        <v>2</v>
      </c>
      <c r="F65" s="117">
        <v>2</v>
      </c>
      <c r="G65" s="117">
        <v>1</v>
      </c>
      <c r="H65" s="117">
        <v>3</v>
      </c>
      <c r="I65" s="117">
        <v>3</v>
      </c>
      <c r="J65" s="117">
        <v>5</v>
      </c>
      <c r="K65" s="25">
        <v>3</v>
      </c>
      <c r="L65" s="25">
        <v>10</v>
      </c>
      <c r="M65" s="30"/>
      <c r="N65" s="30"/>
      <c r="O65" s="25"/>
      <c r="P65" s="25"/>
      <c r="Q65" s="22"/>
      <c r="R65" s="22"/>
      <c r="S65" s="22"/>
      <c r="T65" s="9">
        <v>6</v>
      </c>
      <c r="U65" s="9">
        <v>3</v>
      </c>
      <c r="V65" s="9">
        <v>20</v>
      </c>
      <c r="W65" s="9">
        <v>0</v>
      </c>
      <c r="X65" s="13">
        <v>0</v>
      </c>
      <c r="Y65" s="13">
        <v>0</v>
      </c>
      <c r="Z65" s="15">
        <v>0</v>
      </c>
      <c r="AA65" s="15">
        <v>0</v>
      </c>
      <c r="AB65" s="15">
        <v>0</v>
      </c>
      <c r="AC65" s="9">
        <v>0</v>
      </c>
    </row>
    <row r="66" spans="1:29">
      <c r="A66" s="11">
        <v>258</v>
      </c>
      <c r="B66" s="115" t="s">
        <v>236</v>
      </c>
      <c r="C66" s="126"/>
      <c r="D66" s="6"/>
      <c r="E66" s="117"/>
      <c r="F66" s="117"/>
      <c r="G66" s="117"/>
      <c r="H66" s="117"/>
      <c r="I66" s="117"/>
      <c r="J66" s="117"/>
      <c r="K66" s="25"/>
      <c r="L66" s="25"/>
      <c r="M66" s="30"/>
      <c r="N66" s="30"/>
      <c r="O66" s="30"/>
      <c r="P66" s="30"/>
      <c r="Q66" s="22"/>
      <c r="R66" s="22"/>
      <c r="S66" s="22"/>
      <c r="T66" s="9">
        <v>0</v>
      </c>
      <c r="U66" s="9">
        <v>0</v>
      </c>
      <c r="V66" s="9">
        <v>0</v>
      </c>
      <c r="W66" s="9">
        <v>0</v>
      </c>
      <c r="X66" s="13">
        <v>0</v>
      </c>
      <c r="Y66" s="13">
        <v>0</v>
      </c>
      <c r="Z66" s="15">
        <v>0</v>
      </c>
      <c r="AA66" s="15">
        <v>0</v>
      </c>
      <c r="AB66" s="15">
        <v>0</v>
      </c>
      <c r="AC66" s="9">
        <v>0</v>
      </c>
    </row>
    <row r="67" spans="1:29">
      <c r="A67" s="11">
        <v>259</v>
      </c>
      <c r="B67" s="115" t="s">
        <v>237</v>
      </c>
      <c r="C67" s="97" t="s">
        <v>159</v>
      </c>
      <c r="D67" s="6"/>
      <c r="E67" s="117">
        <v>1</v>
      </c>
      <c r="F67" s="117">
        <v>2</v>
      </c>
      <c r="G67" s="117">
        <v>2</v>
      </c>
      <c r="H67" s="117">
        <v>3</v>
      </c>
      <c r="I67" s="117"/>
      <c r="J67" s="117">
        <v>1</v>
      </c>
      <c r="K67" s="25"/>
      <c r="L67" s="25">
        <v>3</v>
      </c>
      <c r="M67" s="30"/>
      <c r="N67" s="30"/>
      <c r="O67" s="25"/>
      <c r="P67" s="25"/>
      <c r="Q67" s="22"/>
      <c r="R67" s="22"/>
      <c r="S67" s="22"/>
      <c r="T67" s="9">
        <v>3</v>
      </c>
      <c r="U67" s="9">
        <v>0</v>
      </c>
      <c r="V67" s="9">
        <v>9</v>
      </c>
      <c r="W67" s="9">
        <v>0</v>
      </c>
      <c r="X67" s="13">
        <v>0</v>
      </c>
      <c r="Y67" s="13">
        <v>0</v>
      </c>
      <c r="Z67" s="15">
        <v>0</v>
      </c>
      <c r="AA67" s="15">
        <v>0</v>
      </c>
      <c r="AB67" s="15">
        <v>0</v>
      </c>
      <c r="AC67" s="9">
        <v>0</v>
      </c>
    </row>
    <row r="68" spans="1:29">
      <c r="A68" s="11">
        <v>260</v>
      </c>
      <c r="B68" s="115" t="s">
        <v>238</v>
      </c>
      <c r="C68" s="97" t="s">
        <v>160</v>
      </c>
      <c r="D68" s="6"/>
      <c r="E68" s="117">
        <v>1</v>
      </c>
      <c r="F68" s="117">
        <v>1</v>
      </c>
      <c r="G68" s="117">
        <v>3</v>
      </c>
      <c r="H68" s="117">
        <v>3</v>
      </c>
      <c r="I68" s="117"/>
      <c r="J68" s="117">
        <v>3</v>
      </c>
      <c r="K68" s="25"/>
      <c r="L68" s="25">
        <v>10</v>
      </c>
      <c r="M68" s="30"/>
      <c r="N68" s="30"/>
      <c r="O68" s="25"/>
      <c r="P68" s="25"/>
      <c r="Q68" s="22"/>
      <c r="R68" s="22"/>
      <c r="S68" s="22"/>
      <c r="T68" s="9">
        <v>6</v>
      </c>
      <c r="U68" s="9">
        <v>0</v>
      </c>
      <c r="V68" s="9">
        <v>15</v>
      </c>
      <c r="W68" s="9">
        <v>0</v>
      </c>
      <c r="X68" s="13">
        <v>0</v>
      </c>
      <c r="Y68" s="13">
        <v>0</v>
      </c>
      <c r="Z68" s="15">
        <v>0</v>
      </c>
      <c r="AA68" s="15">
        <v>0</v>
      </c>
      <c r="AB68" s="15">
        <v>0</v>
      </c>
      <c r="AC68" s="9">
        <v>0</v>
      </c>
    </row>
    <row r="69" spans="1:29">
      <c r="A69" s="11">
        <v>261</v>
      </c>
      <c r="B69" s="115" t="s">
        <v>239</v>
      </c>
      <c r="C69" s="97" t="s">
        <v>161</v>
      </c>
      <c r="D69" s="6"/>
      <c r="E69" s="117"/>
      <c r="F69" s="117">
        <v>2</v>
      </c>
      <c r="G69" s="117">
        <v>2</v>
      </c>
      <c r="H69" s="117">
        <v>0.5</v>
      </c>
      <c r="I69" s="117">
        <v>3</v>
      </c>
      <c r="J69" s="117"/>
      <c r="K69" s="25"/>
      <c r="L69" s="25">
        <v>7</v>
      </c>
      <c r="M69" s="30"/>
      <c r="N69" s="30"/>
      <c r="O69" s="25"/>
      <c r="P69" s="25"/>
      <c r="Q69" s="22"/>
      <c r="R69" s="22"/>
      <c r="S69" s="22"/>
      <c r="T69" s="9">
        <v>2</v>
      </c>
      <c r="U69" s="9">
        <v>0</v>
      </c>
      <c r="V69" s="9">
        <v>12.5</v>
      </c>
      <c r="W69" s="9">
        <v>0</v>
      </c>
      <c r="X69" s="13">
        <v>0</v>
      </c>
      <c r="Y69" s="13">
        <v>0</v>
      </c>
      <c r="Z69" s="15">
        <v>0</v>
      </c>
      <c r="AA69" s="15">
        <v>0</v>
      </c>
      <c r="AB69" s="15">
        <v>0</v>
      </c>
      <c r="AC69" s="9">
        <v>0</v>
      </c>
    </row>
    <row r="70" spans="1:29">
      <c r="A70" s="11">
        <v>262</v>
      </c>
      <c r="B70" s="115" t="s">
        <v>240</v>
      </c>
      <c r="C70" s="97" t="s">
        <v>162</v>
      </c>
      <c r="D70" s="6"/>
      <c r="E70" s="117">
        <v>3</v>
      </c>
      <c r="F70" s="117">
        <v>2</v>
      </c>
      <c r="G70" s="117">
        <v>3</v>
      </c>
      <c r="H70" s="117">
        <v>3</v>
      </c>
      <c r="I70" s="117">
        <v>3</v>
      </c>
      <c r="J70" s="117">
        <v>2</v>
      </c>
      <c r="K70" s="25">
        <v>3</v>
      </c>
      <c r="L70" s="25">
        <v>10</v>
      </c>
      <c r="M70" s="30"/>
      <c r="N70" s="30"/>
      <c r="O70" s="25"/>
      <c r="P70" s="25"/>
      <c r="Q70" s="22"/>
      <c r="R70" s="22"/>
      <c r="S70" s="22"/>
      <c r="T70" s="9">
        <v>5</v>
      </c>
      <c r="U70" s="9">
        <v>3</v>
      </c>
      <c r="V70" s="9">
        <v>21</v>
      </c>
      <c r="W70" s="9">
        <v>0</v>
      </c>
      <c r="X70" s="13">
        <v>0</v>
      </c>
      <c r="Y70" s="13">
        <v>0</v>
      </c>
      <c r="Z70" s="15">
        <v>0</v>
      </c>
      <c r="AA70" s="15">
        <v>0</v>
      </c>
      <c r="AB70" s="15">
        <v>0</v>
      </c>
      <c r="AC70" s="9">
        <v>0</v>
      </c>
    </row>
    <row r="71" spans="1:29">
      <c r="A71" s="11">
        <v>263</v>
      </c>
      <c r="B71" s="115" t="s">
        <v>241</v>
      </c>
      <c r="C71" s="97" t="s">
        <v>163</v>
      </c>
      <c r="D71" s="6"/>
      <c r="E71" s="117">
        <v>2</v>
      </c>
      <c r="F71" s="117">
        <v>2</v>
      </c>
      <c r="G71" s="117">
        <v>3</v>
      </c>
      <c r="H71" s="117">
        <v>1</v>
      </c>
      <c r="I71" s="117">
        <v>3</v>
      </c>
      <c r="J71" s="117">
        <v>2</v>
      </c>
      <c r="K71" s="25"/>
      <c r="L71" s="25">
        <v>0.5</v>
      </c>
      <c r="M71" s="30"/>
      <c r="N71" s="30"/>
      <c r="O71" s="25"/>
      <c r="P71" s="25"/>
      <c r="Q71" s="22"/>
      <c r="R71" s="22"/>
      <c r="S71" s="22"/>
      <c r="T71" s="9">
        <v>5</v>
      </c>
      <c r="U71" s="9">
        <v>0</v>
      </c>
      <c r="V71" s="9">
        <v>8.5</v>
      </c>
      <c r="W71" s="9">
        <v>0</v>
      </c>
      <c r="X71" s="13">
        <v>0</v>
      </c>
      <c r="Y71" s="13">
        <v>0</v>
      </c>
      <c r="Z71" s="15">
        <v>0</v>
      </c>
      <c r="AA71" s="15">
        <v>0</v>
      </c>
      <c r="AB71" s="15">
        <v>0</v>
      </c>
      <c r="AC71" s="9">
        <v>0</v>
      </c>
    </row>
    <row r="72" spans="1:29">
      <c r="A72" s="11">
        <v>264</v>
      </c>
      <c r="B72" s="115" t="s">
        <v>242</v>
      </c>
      <c r="C72" s="127" t="s">
        <v>164</v>
      </c>
      <c r="D72" s="30"/>
      <c r="E72" s="117"/>
      <c r="F72" s="117"/>
      <c r="G72" s="117"/>
      <c r="H72" s="117"/>
      <c r="I72" s="117"/>
      <c r="J72" s="117"/>
      <c r="K72" s="25"/>
      <c r="L72" s="25"/>
      <c r="M72" s="30"/>
      <c r="N72" s="30"/>
      <c r="O72" s="25"/>
      <c r="P72" s="25"/>
      <c r="Q72" s="17"/>
      <c r="R72" s="17"/>
      <c r="S72" s="17"/>
      <c r="T72" s="8">
        <v>0</v>
      </c>
      <c r="U72" s="8">
        <v>0</v>
      </c>
      <c r="V72" s="8">
        <v>0</v>
      </c>
      <c r="W72" s="8">
        <v>0</v>
      </c>
      <c r="X72" s="8">
        <v>0</v>
      </c>
      <c r="Y72" s="8">
        <v>0</v>
      </c>
      <c r="Z72" s="8">
        <v>0</v>
      </c>
      <c r="AA72" s="8">
        <v>0</v>
      </c>
      <c r="AB72" s="8">
        <v>0</v>
      </c>
      <c r="AC72" s="8">
        <v>0</v>
      </c>
    </row>
    <row r="73" spans="1:29">
      <c r="A73" s="11">
        <v>265</v>
      </c>
      <c r="B73" s="115" t="s">
        <v>243</v>
      </c>
      <c r="C73" s="97" t="s">
        <v>165</v>
      </c>
      <c r="D73" s="30"/>
      <c r="E73" s="117">
        <v>2</v>
      </c>
      <c r="F73" s="117">
        <v>1.5</v>
      </c>
      <c r="G73" s="117">
        <v>1</v>
      </c>
      <c r="H73" s="117"/>
      <c r="I73" s="117"/>
      <c r="J73" s="117"/>
      <c r="K73" s="25"/>
      <c r="L73" s="25"/>
      <c r="M73" s="30"/>
      <c r="N73" s="30"/>
      <c r="O73" s="30"/>
      <c r="P73" s="30"/>
      <c r="Q73" s="17"/>
      <c r="R73" s="17"/>
      <c r="S73" s="17"/>
      <c r="T73" s="8">
        <v>1</v>
      </c>
      <c r="U73" s="8">
        <v>0</v>
      </c>
      <c r="V73" s="8">
        <v>3.5</v>
      </c>
      <c r="W73" s="8">
        <v>0</v>
      </c>
      <c r="X73" s="8">
        <v>0</v>
      </c>
      <c r="Y73" s="8">
        <v>0</v>
      </c>
      <c r="Z73" s="8">
        <v>0</v>
      </c>
      <c r="AA73" s="8">
        <v>0</v>
      </c>
      <c r="AB73" s="8">
        <v>0</v>
      </c>
      <c r="AC73" s="8">
        <v>0</v>
      </c>
    </row>
    <row r="74" spans="1:29">
      <c r="A74" s="11">
        <v>266</v>
      </c>
      <c r="B74" s="115" t="s">
        <v>244</v>
      </c>
      <c r="C74" s="97" t="s">
        <v>166</v>
      </c>
      <c r="D74" s="30"/>
      <c r="E74" s="117">
        <v>2</v>
      </c>
      <c r="F74" s="117"/>
      <c r="G74" s="117">
        <v>3</v>
      </c>
      <c r="H74" s="117"/>
      <c r="I74" s="117"/>
      <c r="J74" s="117"/>
      <c r="K74" s="25"/>
      <c r="L74" s="25">
        <v>1</v>
      </c>
      <c r="M74" s="30"/>
      <c r="N74" s="30"/>
      <c r="O74" s="30"/>
      <c r="P74" s="30"/>
      <c r="Q74" s="17"/>
      <c r="R74" s="17"/>
      <c r="S74" s="17"/>
      <c r="T74" s="8">
        <v>3</v>
      </c>
      <c r="U74" s="8">
        <v>0</v>
      </c>
      <c r="V74" s="8">
        <v>3</v>
      </c>
      <c r="W74" s="8">
        <v>0</v>
      </c>
      <c r="X74" s="8">
        <v>0</v>
      </c>
      <c r="Y74" s="8">
        <v>0</v>
      </c>
      <c r="Z74" s="8">
        <v>0</v>
      </c>
      <c r="AA74" s="8">
        <v>0</v>
      </c>
      <c r="AB74" s="8">
        <v>0</v>
      </c>
      <c r="AC74" s="8">
        <v>0</v>
      </c>
    </row>
    <row r="75" spans="1:29">
      <c r="A75" s="11"/>
      <c r="B75" s="26"/>
      <c r="C75" s="121"/>
      <c r="D75" s="30"/>
      <c r="E75" s="117"/>
      <c r="F75" s="117"/>
      <c r="G75" s="117"/>
      <c r="H75" s="117"/>
      <c r="I75" s="117"/>
      <c r="J75" s="117"/>
      <c r="K75" s="41"/>
      <c r="L75" s="41"/>
      <c r="M75" s="30"/>
      <c r="N75" s="30"/>
      <c r="O75" s="30"/>
      <c r="P75" s="30"/>
      <c r="Q75" s="30"/>
      <c r="R75" s="30"/>
      <c r="S75" s="30"/>
      <c r="T75" s="8">
        <v>0</v>
      </c>
      <c r="U75" s="8">
        <v>0</v>
      </c>
      <c r="V75" s="8">
        <v>0</v>
      </c>
      <c r="W75" s="8">
        <v>0</v>
      </c>
      <c r="X75" s="8">
        <v>0</v>
      </c>
      <c r="Y75" s="8">
        <v>0</v>
      </c>
      <c r="Z75" s="8">
        <v>0</v>
      </c>
      <c r="AA75" s="8">
        <v>0</v>
      </c>
      <c r="AB75" s="8">
        <v>0</v>
      </c>
      <c r="AC75" s="8">
        <v>0</v>
      </c>
    </row>
    <row r="76" spans="1:29">
      <c r="A76" s="11"/>
      <c r="B76" s="26"/>
      <c r="C76" s="122"/>
      <c r="D76" s="30"/>
      <c r="E76" s="117"/>
      <c r="F76" s="117"/>
      <c r="G76" s="117"/>
      <c r="H76" s="117"/>
      <c r="I76" s="117"/>
      <c r="J76" s="117"/>
      <c r="K76" s="41"/>
      <c r="L76" s="41"/>
      <c r="M76" s="30"/>
      <c r="N76" s="30"/>
      <c r="O76" s="30"/>
      <c r="P76" s="30"/>
      <c r="Q76" s="30"/>
      <c r="R76" s="30"/>
      <c r="S76" s="30"/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</row>
    <row r="77" spans="1:29">
      <c r="A77" s="11"/>
      <c r="B77" s="43"/>
      <c r="C77" s="121"/>
      <c r="D77" s="30"/>
      <c r="E77" s="117"/>
      <c r="F77" s="117"/>
      <c r="G77" s="117"/>
      <c r="H77" s="117"/>
      <c r="I77" s="117"/>
      <c r="J77" s="117"/>
      <c r="K77" s="41"/>
      <c r="L77" s="41"/>
      <c r="M77" s="30"/>
      <c r="N77" s="30"/>
      <c r="O77" s="30"/>
      <c r="P77" s="30"/>
      <c r="Q77" s="30"/>
      <c r="R77" s="30"/>
      <c r="S77" s="30"/>
      <c r="T77" s="8">
        <v>0</v>
      </c>
      <c r="U77" s="8">
        <v>0</v>
      </c>
      <c r="V77" s="8">
        <v>0</v>
      </c>
      <c r="W77" s="8">
        <v>0</v>
      </c>
      <c r="X77" s="8">
        <v>0</v>
      </c>
      <c r="Y77" s="8">
        <v>0</v>
      </c>
      <c r="Z77" s="8">
        <v>0</v>
      </c>
      <c r="AA77" s="8">
        <v>0</v>
      </c>
      <c r="AB77" s="8">
        <v>0</v>
      </c>
      <c r="AC77" s="8">
        <v>0</v>
      </c>
    </row>
    <row r="78" spans="1:29">
      <c r="A78" s="11"/>
      <c r="B78" s="30"/>
      <c r="C78" s="122"/>
      <c r="D78" s="30"/>
      <c r="E78" s="30"/>
      <c r="F78" s="30"/>
      <c r="G78" s="30"/>
      <c r="H78" s="30"/>
      <c r="I78" s="41"/>
      <c r="J78" s="41"/>
      <c r="K78" s="41"/>
      <c r="L78" s="41"/>
      <c r="M78" s="30"/>
      <c r="N78" s="30"/>
      <c r="O78" s="30"/>
      <c r="P78" s="30"/>
      <c r="Q78" s="30"/>
      <c r="R78" s="30"/>
      <c r="S78" s="30"/>
      <c r="T78" s="8">
        <v>0</v>
      </c>
      <c r="U78" s="8">
        <v>0</v>
      </c>
      <c r="V78" s="8">
        <v>0</v>
      </c>
      <c r="W78" s="8">
        <v>0</v>
      </c>
      <c r="X78" s="8">
        <v>0</v>
      </c>
      <c r="Y78" s="8">
        <v>0</v>
      </c>
      <c r="Z78" s="8">
        <v>0</v>
      </c>
      <c r="AA78" s="8">
        <v>0</v>
      </c>
      <c r="AB78" s="8">
        <v>0</v>
      </c>
      <c r="AC78" s="8">
        <v>0</v>
      </c>
    </row>
    <row r="79" spans="1:29">
      <c r="A79" s="30"/>
      <c r="B79" s="30"/>
      <c r="C79" s="42"/>
      <c r="D79" s="30"/>
      <c r="E79" s="30"/>
      <c r="F79" s="30"/>
      <c r="G79" s="30"/>
      <c r="H79" s="30"/>
      <c r="I79" s="41"/>
      <c r="J79" s="41"/>
      <c r="K79" s="41"/>
      <c r="L79" s="41"/>
      <c r="M79" s="30"/>
      <c r="N79" s="30"/>
      <c r="O79" s="30"/>
      <c r="P79" s="30"/>
      <c r="Q79" s="30"/>
      <c r="R79" s="30"/>
      <c r="S79" s="30"/>
      <c r="T79" s="8">
        <v>0</v>
      </c>
      <c r="U79" s="8">
        <v>0</v>
      </c>
      <c r="V79" s="8">
        <v>0</v>
      </c>
      <c r="W79" s="8">
        <v>0</v>
      </c>
      <c r="X79" s="8">
        <v>0</v>
      </c>
      <c r="Y79" s="8">
        <v>0</v>
      </c>
      <c r="Z79" s="8">
        <v>0</v>
      </c>
      <c r="AA79" s="8">
        <v>0</v>
      </c>
      <c r="AB79" s="8">
        <v>0</v>
      </c>
      <c r="AC79" s="8">
        <v>0</v>
      </c>
    </row>
    <row r="80" spans="1:29">
      <c r="A80" s="30"/>
      <c r="B80" s="30"/>
      <c r="C80" s="42"/>
      <c r="D80" s="30"/>
      <c r="E80" s="30"/>
      <c r="F80" s="30"/>
      <c r="G80" s="30"/>
      <c r="H80" s="30"/>
      <c r="I80" s="41"/>
      <c r="J80" s="41"/>
      <c r="K80" s="41"/>
      <c r="L80" s="41"/>
      <c r="M80" s="30"/>
      <c r="N80" s="30"/>
      <c r="O80" s="30"/>
      <c r="P80" s="30"/>
      <c r="Q80" s="30"/>
      <c r="R80" s="30"/>
      <c r="S80" s="30"/>
      <c r="T80" s="8">
        <v>0</v>
      </c>
      <c r="U80" s="8">
        <v>0</v>
      </c>
      <c r="V80" s="8">
        <v>0</v>
      </c>
      <c r="W80" s="8">
        <v>0</v>
      </c>
      <c r="X80" s="8">
        <v>0</v>
      </c>
      <c r="Y80" s="8">
        <v>0</v>
      </c>
      <c r="Z80" s="8">
        <v>0</v>
      </c>
      <c r="AA80" s="8">
        <v>0</v>
      </c>
      <c r="AB80" s="8">
        <v>0</v>
      </c>
      <c r="AC80" s="8">
        <v>0</v>
      </c>
    </row>
    <row r="81" spans="1:29">
      <c r="A81" s="30"/>
      <c r="B81" s="30"/>
      <c r="C81" s="42"/>
      <c r="D81" s="30"/>
      <c r="E81" s="30"/>
      <c r="F81" s="30"/>
      <c r="G81" s="30"/>
      <c r="H81" s="30"/>
      <c r="I81" s="41"/>
      <c r="J81" s="41"/>
      <c r="K81" s="41"/>
      <c r="L81" s="41"/>
      <c r="M81" s="30"/>
      <c r="N81" s="30"/>
      <c r="O81" s="30"/>
      <c r="P81" s="30"/>
      <c r="Q81" s="30"/>
      <c r="R81" s="30"/>
      <c r="S81" s="30"/>
      <c r="T81" s="8">
        <v>0</v>
      </c>
      <c r="U81" s="8">
        <v>0</v>
      </c>
      <c r="V81" s="8">
        <v>0</v>
      </c>
      <c r="W81" s="8">
        <v>0</v>
      </c>
      <c r="X81" s="8">
        <v>0</v>
      </c>
      <c r="Y81" s="8">
        <v>0</v>
      </c>
      <c r="Z81" s="8">
        <v>0</v>
      </c>
      <c r="AA81" s="8">
        <v>0</v>
      </c>
      <c r="AB81" s="8">
        <v>0</v>
      </c>
      <c r="AC81" s="8">
        <v>0</v>
      </c>
    </row>
  </sheetData>
  <mergeCells count="26">
    <mergeCell ref="A1:AC1"/>
    <mergeCell ref="C3:H3"/>
    <mergeCell ref="A3:B3"/>
    <mergeCell ref="T3:AC3"/>
    <mergeCell ref="T7:AC7"/>
    <mergeCell ref="T5:AC5"/>
    <mergeCell ref="A5:A8"/>
    <mergeCell ref="B5:B8"/>
    <mergeCell ref="C5:C8"/>
    <mergeCell ref="D7:D8"/>
    <mergeCell ref="E7:E8"/>
    <mergeCell ref="F7:F8"/>
    <mergeCell ref="G7:G8"/>
    <mergeCell ref="H7:H8"/>
    <mergeCell ref="I7:I8"/>
    <mergeCell ref="J7:J8"/>
    <mergeCell ref="D2:E2"/>
    <mergeCell ref="M7:M8"/>
    <mergeCell ref="K7:K8"/>
    <mergeCell ref="S7:S8"/>
    <mergeCell ref="L7:L8"/>
    <mergeCell ref="O7:O8"/>
    <mergeCell ref="P7:P8"/>
    <mergeCell ref="Q7:Q8"/>
    <mergeCell ref="R7:R8"/>
    <mergeCell ref="N7:N8"/>
  </mergeCells>
  <pageMargins left="0.7" right="0.7" top="0.5" bottom="0.5" header="0.3" footer="0.3"/>
  <pageSetup paperSize="9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C81"/>
  <sheetViews>
    <sheetView topLeftCell="A57" workbookViewId="0">
      <selection activeCell="B9" sqref="B9:B74"/>
    </sheetView>
  </sheetViews>
  <sheetFormatPr defaultRowHeight="15"/>
  <cols>
    <col min="1" max="1" width="5.85546875" style="3" bestFit="1" customWidth="1"/>
    <col min="2" max="2" width="12.7109375" style="3" customWidth="1"/>
    <col min="3" max="3" width="33.42578125" style="4" customWidth="1"/>
    <col min="4" max="4" width="11.140625" style="3" customWidth="1"/>
    <col min="5" max="8" width="6.5703125" style="3" customWidth="1"/>
    <col min="9" max="12" width="6.5703125" style="36" customWidth="1"/>
    <col min="13" max="19" width="6.5703125" style="3" customWidth="1"/>
    <col min="20" max="29" width="7.42578125" style="1" customWidth="1"/>
  </cols>
  <sheetData>
    <row r="1" spans="1:29" s="1" customFormat="1" ht="15.75">
      <c r="A1" s="133" t="s">
        <v>30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  <c r="AC1" s="133"/>
    </row>
    <row r="2" spans="1:29" s="1" customFormat="1">
      <c r="A2" s="16" t="s">
        <v>21</v>
      </c>
      <c r="B2" s="27"/>
      <c r="C2" s="48">
        <f>'ST-I'!C2</f>
        <v>6</v>
      </c>
      <c r="D2" s="49"/>
      <c r="E2" s="50"/>
      <c r="F2" s="50"/>
      <c r="G2" s="49"/>
      <c r="H2" s="49"/>
      <c r="I2" s="36"/>
      <c r="J2" s="36"/>
      <c r="K2" s="36"/>
      <c r="L2" s="36"/>
      <c r="M2" s="3"/>
      <c r="N2" s="3"/>
      <c r="O2" s="3"/>
      <c r="P2" s="3"/>
      <c r="Q2" s="3"/>
      <c r="R2" s="3"/>
      <c r="S2" s="16" t="s">
        <v>22</v>
      </c>
      <c r="T2" s="46" t="str">
        <f>'ST-I'!T2</f>
        <v>CSE</v>
      </c>
      <c r="U2" s="49"/>
      <c r="V2" s="49"/>
      <c r="W2" s="49"/>
      <c r="X2" s="49"/>
      <c r="Y2" s="49"/>
      <c r="Z2" s="49"/>
      <c r="AA2" s="49"/>
      <c r="AB2" s="49"/>
      <c r="AC2" s="49"/>
    </row>
    <row r="3" spans="1:29" s="1" customFormat="1">
      <c r="A3" s="135" t="s">
        <v>24</v>
      </c>
      <c r="B3" s="135"/>
      <c r="C3" s="134" t="str">
        <f>'ST-I'!C3:H3</f>
        <v>CS304 COMPILER DESIGN</v>
      </c>
      <c r="D3" s="134"/>
      <c r="E3" s="134"/>
      <c r="F3" s="134"/>
      <c r="G3" s="134"/>
      <c r="H3" s="134"/>
      <c r="I3" s="36"/>
      <c r="J3" s="36"/>
      <c r="K3" s="36"/>
      <c r="L3" s="36"/>
      <c r="M3" s="3"/>
      <c r="N3" s="3"/>
      <c r="O3" s="3"/>
      <c r="P3" s="3"/>
      <c r="Q3" s="3"/>
      <c r="R3" s="3"/>
      <c r="S3" s="16" t="s">
        <v>23</v>
      </c>
      <c r="T3" s="148" t="str">
        <f>'ST-I'!T3:AC3</f>
        <v>Dr. Subu Surendran</v>
      </c>
      <c r="U3" s="148"/>
      <c r="V3" s="148"/>
      <c r="W3" s="148"/>
      <c r="X3" s="148"/>
      <c r="Y3" s="148"/>
      <c r="Z3" s="148"/>
      <c r="AA3" s="148"/>
      <c r="AB3" s="148"/>
      <c r="AC3" s="148"/>
    </row>
    <row r="4" spans="1:29" s="1" customFormat="1">
      <c r="A4" s="29"/>
      <c r="B4" s="29"/>
      <c r="C4" s="29"/>
      <c r="D4" s="28"/>
      <c r="E4" s="28"/>
      <c r="F4" s="28"/>
      <c r="G4" s="28"/>
      <c r="H4" s="28"/>
      <c r="I4" s="37"/>
      <c r="J4" s="37"/>
      <c r="K4" s="37"/>
      <c r="L4" s="37"/>
      <c r="M4" s="28"/>
      <c r="N4" s="28"/>
      <c r="O4" s="28"/>
      <c r="P4" s="28"/>
      <c r="Q4" s="28"/>
      <c r="R4" s="28"/>
      <c r="S4" s="28"/>
    </row>
    <row r="5" spans="1:29">
      <c r="A5" s="140" t="s">
        <v>16</v>
      </c>
      <c r="B5" s="140" t="s">
        <v>1</v>
      </c>
      <c r="C5" s="143" t="s">
        <v>15</v>
      </c>
      <c r="D5" s="18" t="s">
        <v>11</v>
      </c>
      <c r="E5" s="19">
        <v>1</v>
      </c>
      <c r="F5" s="19">
        <v>2</v>
      </c>
      <c r="G5" s="19">
        <v>3</v>
      </c>
      <c r="H5" s="19">
        <v>4</v>
      </c>
      <c r="I5" s="38">
        <v>5</v>
      </c>
      <c r="J5" s="38">
        <v>6</v>
      </c>
      <c r="K5" s="38">
        <v>7</v>
      </c>
      <c r="L5" s="39">
        <v>8</v>
      </c>
      <c r="M5" s="20">
        <v>9</v>
      </c>
      <c r="N5" s="20">
        <v>10</v>
      </c>
      <c r="O5" s="20">
        <v>11</v>
      </c>
      <c r="P5" s="20">
        <v>12</v>
      </c>
      <c r="Q5" s="20">
        <v>13</v>
      </c>
      <c r="R5" s="20">
        <v>14</v>
      </c>
      <c r="S5" s="20">
        <v>15</v>
      </c>
      <c r="T5" s="137" t="s">
        <v>20</v>
      </c>
      <c r="U5" s="138"/>
      <c r="V5" s="138"/>
      <c r="W5" s="138"/>
      <c r="X5" s="138"/>
      <c r="Y5" s="138"/>
      <c r="Z5" s="138"/>
      <c r="AA5" s="138"/>
      <c r="AB5" s="138"/>
      <c r="AC5" s="139"/>
    </row>
    <row r="6" spans="1:29">
      <c r="A6" s="141"/>
      <c r="B6" s="141"/>
      <c r="C6" s="144"/>
      <c r="D6" s="18" t="s">
        <v>13</v>
      </c>
      <c r="E6" s="17">
        <v>10</v>
      </c>
      <c r="F6" s="17">
        <v>10</v>
      </c>
      <c r="G6" s="17">
        <v>10</v>
      </c>
      <c r="H6" s="17">
        <v>10</v>
      </c>
      <c r="I6" s="17">
        <v>10</v>
      </c>
      <c r="J6" s="17"/>
      <c r="K6" s="17"/>
      <c r="L6" s="17"/>
      <c r="M6" s="17"/>
      <c r="N6" s="17"/>
      <c r="O6" s="17"/>
      <c r="P6" s="17"/>
      <c r="Q6" s="17"/>
      <c r="R6" s="17"/>
      <c r="S6" s="17"/>
      <c r="T6" s="18" t="s">
        <v>2</v>
      </c>
      <c r="U6" s="18" t="s">
        <v>3</v>
      </c>
      <c r="V6" s="18" t="s">
        <v>4</v>
      </c>
      <c r="W6" s="18" t="s">
        <v>5</v>
      </c>
      <c r="X6" s="18" t="s">
        <v>19</v>
      </c>
      <c r="Y6" s="18" t="s">
        <v>25</v>
      </c>
      <c r="Z6" s="18" t="s">
        <v>26</v>
      </c>
      <c r="AA6" s="18" t="s">
        <v>27</v>
      </c>
      <c r="AB6" s="18" t="s">
        <v>28</v>
      </c>
      <c r="AC6" s="18" t="s">
        <v>29</v>
      </c>
    </row>
    <row r="7" spans="1:29" ht="15" customHeight="1">
      <c r="A7" s="141"/>
      <c r="B7" s="141"/>
      <c r="C7" s="144"/>
      <c r="D7" s="146" t="s">
        <v>12</v>
      </c>
      <c r="E7" s="131">
        <v>2</v>
      </c>
      <c r="F7" s="131">
        <v>3</v>
      </c>
      <c r="G7" s="131">
        <v>4</v>
      </c>
      <c r="H7" s="131">
        <v>5</v>
      </c>
      <c r="I7" s="131">
        <v>5</v>
      </c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7" t="s">
        <v>14</v>
      </c>
      <c r="U7" s="138"/>
      <c r="V7" s="138"/>
      <c r="W7" s="138"/>
      <c r="X7" s="138"/>
      <c r="Y7" s="138"/>
      <c r="Z7" s="138"/>
      <c r="AA7" s="138"/>
      <c r="AB7" s="138"/>
      <c r="AC7" s="139"/>
    </row>
    <row r="8" spans="1:29" ht="12.75" customHeight="1">
      <c r="A8" s="142"/>
      <c r="B8" s="142"/>
      <c r="C8" s="145"/>
      <c r="D8" s="147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26">
        <v>0</v>
      </c>
      <c r="U8" s="26">
        <v>10</v>
      </c>
      <c r="V8" s="26">
        <v>10</v>
      </c>
      <c r="W8" s="26">
        <v>10</v>
      </c>
      <c r="X8" s="26">
        <v>20</v>
      </c>
      <c r="Y8" s="26">
        <v>0</v>
      </c>
      <c r="Z8" s="26">
        <v>0</v>
      </c>
      <c r="AA8" s="26">
        <v>0</v>
      </c>
      <c r="AB8" s="26">
        <v>0</v>
      </c>
      <c r="AC8" s="26">
        <v>0</v>
      </c>
    </row>
    <row r="9" spans="1:29" ht="12.75" customHeight="1">
      <c r="A9" s="11">
        <v>201</v>
      </c>
      <c r="B9" s="115" t="str">
        <f>'ST-I'!B9</f>
        <v>SCT15CS001</v>
      </c>
      <c r="C9" s="121" t="str">
        <f>'ST-I'!C9</f>
        <v>AASHIK N R</v>
      </c>
      <c r="D9" s="6"/>
      <c r="E9" s="124">
        <v>8</v>
      </c>
      <c r="F9" s="124">
        <v>8</v>
      </c>
      <c r="G9" s="124">
        <v>0</v>
      </c>
      <c r="H9" s="124">
        <v>5</v>
      </c>
      <c r="I9" s="124">
        <v>5</v>
      </c>
      <c r="J9" s="124"/>
      <c r="K9" s="25"/>
      <c r="L9" s="25"/>
      <c r="M9" s="30"/>
      <c r="N9" s="30"/>
      <c r="O9" s="25"/>
      <c r="P9" s="25"/>
      <c r="Q9" s="22"/>
      <c r="R9" s="22"/>
      <c r="S9" s="22"/>
      <c r="T9" s="26">
        <v>0</v>
      </c>
      <c r="U9" s="26">
        <v>8</v>
      </c>
      <c r="V9" s="26">
        <v>8</v>
      </c>
      <c r="W9" s="26">
        <v>0</v>
      </c>
      <c r="X9" s="26">
        <v>10</v>
      </c>
      <c r="Y9" s="26">
        <v>0</v>
      </c>
      <c r="Z9" s="26">
        <v>0</v>
      </c>
      <c r="AA9" s="26">
        <v>0</v>
      </c>
      <c r="AB9" s="26">
        <v>0</v>
      </c>
      <c r="AC9" s="26">
        <v>0</v>
      </c>
    </row>
    <row r="10" spans="1:29" ht="12.75" customHeight="1">
      <c r="A10" s="11">
        <v>202</v>
      </c>
      <c r="B10" s="115" t="str">
        <f>'ST-I'!B10</f>
        <v>SCT15CS002</v>
      </c>
      <c r="C10" s="121" t="str">
        <f>'ST-I'!C10</f>
        <v>ABHILASH JJ</v>
      </c>
      <c r="D10" s="6"/>
      <c r="E10" s="124">
        <v>8</v>
      </c>
      <c r="F10" s="124">
        <v>8</v>
      </c>
      <c r="G10" s="124">
        <v>0</v>
      </c>
      <c r="H10" s="124">
        <v>5</v>
      </c>
      <c r="I10" s="124">
        <v>5</v>
      </c>
      <c r="J10" s="124"/>
      <c r="K10" s="25"/>
      <c r="L10" s="25"/>
      <c r="M10" s="30"/>
      <c r="N10" s="30"/>
      <c r="O10" s="25"/>
      <c r="P10" s="25"/>
      <c r="Q10" s="22"/>
      <c r="R10" s="22"/>
      <c r="S10" s="22"/>
      <c r="T10" s="26">
        <v>0</v>
      </c>
      <c r="U10" s="26">
        <v>8</v>
      </c>
      <c r="V10" s="26">
        <v>8</v>
      </c>
      <c r="W10" s="26">
        <v>0</v>
      </c>
      <c r="X10" s="26">
        <v>10</v>
      </c>
      <c r="Y10" s="26">
        <v>0</v>
      </c>
      <c r="Z10" s="26">
        <v>0</v>
      </c>
      <c r="AA10" s="26">
        <v>0</v>
      </c>
      <c r="AB10" s="26">
        <v>0</v>
      </c>
      <c r="AC10" s="26">
        <v>0</v>
      </c>
    </row>
    <row r="11" spans="1:29">
      <c r="A11" s="11">
        <v>203</v>
      </c>
      <c r="B11" s="115" t="str">
        <f>'ST-I'!B11</f>
        <v>SCT15CS003</v>
      </c>
      <c r="C11" s="121" t="str">
        <f>'ST-I'!C11</f>
        <v>AISWARYA UDAYAN</v>
      </c>
      <c r="D11" s="6"/>
      <c r="E11" s="124">
        <v>8</v>
      </c>
      <c r="F11" s="124">
        <v>8</v>
      </c>
      <c r="G11" s="124">
        <v>0</v>
      </c>
      <c r="H11" s="124">
        <v>5</v>
      </c>
      <c r="I11" s="124">
        <v>5</v>
      </c>
      <c r="J11" s="124"/>
      <c r="K11" s="25"/>
      <c r="L11" s="25"/>
      <c r="M11" s="30"/>
      <c r="N11" s="30"/>
      <c r="O11" s="25"/>
      <c r="P11" s="25"/>
      <c r="Q11" s="22"/>
      <c r="R11" s="22"/>
      <c r="S11" s="22"/>
      <c r="T11" s="26">
        <v>0</v>
      </c>
      <c r="U11" s="26">
        <v>8</v>
      </c>
      <c r="V11" s="26">
        <v>8</v>
      </c>
      <c r="W11" s="26">
        <v>0</v>
      </c>
      <c r="X11" s="26">
        <v>10</v>
      </c>
      <c r="Y11" s="26">
        <v>0</v>
      </c>
      <c r="Z11" s="26">
        <v>0</v>
      </c>
      <c r="AA11" s="26">
        <v>0</v>
      </c>
      <c r="AB11" s="26">
        <v>0</v>
      </c>
      <c r="AC11" s="26">
        <v>0</v>
      </c>
    </row>
    <row r="12" spans="1:29" s="7" customFormat="1" ht="15" customHeight="1">
      <c r="A12" s="11">
        <v>204</v>
      </c>
      <c r="B12" s="115" t="str">
        <f>'ST-I'!B12</f>
        <v>SCT15CS004</v>
      </c>
      <c r="C12" s="121" t="str">
        <f>'ST-I'!C12</f>
        <v>AKSHAY A PRAJAPATHY</v>
      </c>
      <c r="D12" s="6"/>
      <c r="E12" s="124">
        <v>8</v>
      </c>
      <c r="F12" s="124">
        <v>8</v>
      </c>
      <c r="G12" s="124">
        <v>0</v>
      </c>
      <c r="H12" s="124">
        <v>5</v>
      </c>
      <c r="I12" s="124">
        <v>5</v>
      </c>
      <c r="J12" s="124"/>
      <c r="K12" s="25"/>
      <c r="L12" s="25"/>
      <c r="M12" s="30"/>
      <c r="N12" s="30"/>
      <c r="O12" s="25"/>
      <c r="P12" s="25"/>
      <c r="Q12" s="22"/>
      <c r="R12" s="22"/>
      <c r="S12" s="22"/>
      <c r="T12" s="26">
        <v>0</v>
      </c>
      <c r="U12" s="26">
        <v>8</v>
      </c>
      <c r="V12" s="26">
        <v>8</v>
      </c>
      <c r="W12" s="26">
        <v>0</v>
      </c>
      <c r="X12" s="26">
        <v>10</v>
      </c>
      <c r="Y12" s="26">
        <v>0</v>
      </c>
      <c r="Z12" s="26">
        <v>0</v>
      </c>
      <c r="AA12" s="26">
        <v>0</v>
      </c>
      <c r="AB12" s="26">
        <v>0</v>
      </c>
      <c r="AC12" s="26">
        <v>0</v>
      </c>
    </row>
    <row r="13" spans="1:29">
      <c r="A13" s="11">
        <v>205</v>
      </c>
      <c r="B13" s="115" t="str">
        <f>'ST-I'!B13</f>
        <v>SCT15CS005</v>
      </c>
      <c r="C13" s="121" t="str">
        <f>'ST-I'!C13</f>
        <v>ALBIN ANTONY</v>
      </c>
      <c r="D13" s="6"/>
      <c r="E13" s="124">
        <v>5</v>
      </c>
      <c r="F13" s="124">
        <v>5</v>
      </c>
      <c r="G13" s="124">
        <v>0</v>
      </c>
      <c r="H13" s="124">
        <v>5</v>
      </c>
      <c r="I13" s="124">
        <v>5</v>
      </c>
      <c r="J13" s="124"/>
      <c r="K13" s="25"/>
      <c r="L13" s="25"/>
      <c r="M13" s="30"/>
      <c r="N13" s="30"/>
      <c r="O13" s="25"/>
      <c r="P13" s="25"/>
      <c r="Q13" s="22"/>
      <c r="R13" s="22"/>
      <c r="S13" s="22"/>
      <c r="T13" s="26">
        <v>0</v>
      </c>
      <c r="U13" s="26">
        <v>5</v>
      </c>
      <c r="V13" s="26">
        <v>5</v>
      </c>
      <c r="W13" s="26">
        <v>0</v>
      </c>
      <c r="X13" s="26">
        <v>10</v>
      </c>
      <c r="Y13" s="26">
        <v>0</v>
      </c>
      <c r="Z13" s="26">
        <v>0</v>
      </c>
      <c r="AA13" s="26">
        <v>0</v>
      </c>
      <c r="AB13" s="26">
        <v>0</v>
      </c>
      <c r="AC13" s="26">
        <v>0</v>
      </c>
    </row>
    <row r="14" spans="1:29">
      <c r="A14" s="11">
        <v>206</v>
      </c>
      <c r="B14" s="115" t="str">
        <f>'ST-I'!B14</f>
        <v>SCT15CS006</v>
      </c>
      <c r="C14" s="121" t="str">
        <f>'ST-I'!C14</f>
        <v>ALEX M JOHN</v>
      </c>
      <c r="D14" s="6"/>
      <c r="E14" s="124">
        <v>5</v>
      </c>
      <c r="F14" s="124">
        <v>5</v>
      </c>
      <c r="G14" s="124">
        <v>0</v>
      </c>
      <c r="H14" s="124">
        <v>5</v>
      </c>
      <c r="I14" s="124">
        <v>5</v>
      </c>
      <c r="J14" s="124"/>
      <c r="K14" s="25"/>
      <c r="L14" s="25"/>
      <c r="M14" s="30"/>
      <c r="N14" s="30"/>
      <c r="O14" s="25"/>
      <c r="P14" s="25"/>
      <c r="Q14" s="22"/>
      <c r="R14" s="22"/>
      <c r="S14" s="22"/>
      <c r="T14" s="26">
        <v>0</v>
      </c>
      <c r="U14" s="26">
        <v>5</v>
      </c>
      <c r="V14" s="26">
        <v>5</v>
      </c>
      <c r="W14" s="26">
        <v>0</v>
      </c>
      <c r="X14" s="26">
        <v>10</v>
      </c>
      <c r="Y14" s="26">
        <v>0</v>
      </c>
      <c r="Z14" s="26">
        <v>0</v>
      </c>
      <c r="AA14" s="26">
        <v>0</v>
      </c>
      <c r="AB14" s="26">
        <v>0</v>
      </c>
      <c r="AC14" s="26">
        <v>0</v>
      </c>
    </row>
    <row r="15" spans="1:29">
      <c r="A15" s="11">
        <v>207</v>
      </c>
      <c r="B15" s="115" t="str">
        <f>'ST-I'!B15</f>
        <v>SCT15CS007</v>
      </c>
      <c r="C15" s="121" t="str">
        <f>'ST-I'!C15</f>
        <v>ALIN BABU</v>
      </c>
      <c r="D15" s="6"/>
      <c r="E15" s="124"/>
      <c r="F15" s="124"/>
      <c r="G15" s="124"/>
      <c r="H15" s="124"/>
      <c r="I15" s="124"/>
      <c r="J15" s="124"/>
      <c r="K15" s="25"/>
      <c r="L15" s="25"/>
      <c r="M15" s="30"/>
      <c r="N15" s="30"/>
      <c r="O15" s="25"/>
      <c r="P15" s="25"/>
      <c r="Q15" s="22"/>
      <c r="R15" s="22"/>
      <c r="S15" s="22"/>
      <c r="T15" s="26">
        <v>0</v>
      </c>
      <c r="U15" s="26">
        <v>0</v>
      </c>
      <c r="V15" s="26">
        <v>0</v>
      </c>
      <c r="W15" s="26">
        <v>0</v>
      </c>
      <c r="X15" s="26">
        <v>0</v>
      </c>
      <c r="Y15" s="26">
        <v>0</v>
      </c>
      <c r="Z15" s="26">
        <v>0</v>
      </c>
      <c r="AA15" s="26">
        <v>0</v>
      </c>
      <c r="AB15" s="26">
        <v>0</v>
      </c>
      <c r="AC15" s="26">
        <v>0</v>
      </c>
    </row>
    <row r="16" spans="1:29">
      <c r="A16" s="11">
        <v>208</v>
      </c>
      <c r="B16" s="115" t="str">
        <f>'ST-I'!B16</f>
        <v>SCT15CS008</v>
      </c>
      <c r="C16" s="121" t="str">
        <f>'ST-I'!C16</f>
        <v>AMANYU ROY A P</v>
      </c>
      <c r="D16" s="6"/>
      <c r="E16" s="124">
        <v>5</v>
      </c>
      <c r="F16" s="124">
        <v>5</v>
      </c>
      <c r="G16" s="124">
        <v>0</v>
      </c>
      <c r="H16" s="124">
        <v>5</v>
      </c>
      <c r="I16" s="124">
        <v>5</v>
      </c>
      <c r="J16" s="124"/>
      <c r="K16" s="25"/>
      <c r="L16" s="25"/>
      <c r="M16" s="30"/>
      <c r="N16" s="30"/>
      <c r="O16" s="25"/>
      <c r="P16" s="25"/>
      <c r="Q16" s="22"/>
      <c r="R16" s="22"/>
      <c r="S16" s="22"/>
      <c r="T16" s="26">
        <v>0</v>
      </c>
      <c r="U16" s="26">
        <v>5</v>
      </c>
      <c r="V16" s="26">
        <v>5</v>
      </c>
      <c r="W16" s="26">
        <v>0</v>
      </c>
      <c r="X16" s="26">
        <v>10</v>
      </c>
      <c r="Y16" s="26">
        <v>0</v>
      </c>
      <c r="Z16" s="26">
        <v>0</v>
      </c>
      <c r="AA16" s="26">
        <v>0</v>
      </c>
      <c r="AB16" s="26">
        <v>0</v>
      </c>
      <c r="AC16" s="26">
        <v>0</v>
      </c>
    </row>
    <row r="17" spans="1:29">
      <c r="A17" s="11">
        <v>209</v>
      </c>
      <c r="B17" s="115" t="str">
        <f>'ST-I'!B17</f>
        <v>SCT15CS009</v>
      </c>
      <c r="C17" s="121" t="str">
        <f>'ST-I'!C17</f>
        <v>ANJANA S M</v>
      </c>
      <c r="D17" s="6"/>
      <c r="E17" s="124">
        <v>10</v>
      </c>
      <c r="F17" s="124">
        <v>10</v>
      </c>
      <c r="G17" s="124">
        <v>2</v>
      </c>
      <c r="H17" s="124">
        <v>8</v>
      </c>
      <c r="I17" s="124">
        <v>5</v>
      </c>
      <c r="J17" s="124"/>
      <c r="K17" s="25"/>
      <c r="L17" s="25"/>
      <c r="M17" s="30"/>
      <c r="N17" s="30"/>
      <c r="O17" s="25"/>
      <c r="P17" s="25"/>
      <c r="Q17" s="22"/>
      <c r="R17" s="22"/>
      <c r="S17" s="22"/>
      <c r="T17" s="26">
        <v>0</v>
      </c>
      <c r="U17" s="26">
        <v>10</v>
      </c>
      <c r="V17" s="26">
        <v>10</v>
      </c>
      <c r="W17" s="26">
        <v>2</v>
      </c>
      <c r="X17" s="26">
        <v>13</v>
      </c>
      <c r="Y17" s="26">
        <v>0</v>
      </c>
      <c r="Z17" s="26">
        <v>0</v>
      </c>
      <c r="AA17" s="26">
        <v>0</v>
      </c>
      <c r="AB17" s="26">
        <v>0</v>
      </c>
      <c r="AC17" s="26">
        <v>0</v>
      </c>
    </row>
    <row r="18" spans="1:29">
      <c r="A18" s="11">
        <v>210</v>
      </c>
      <c r="B18" s="115" t="str">
        <f>'ST-I'!B18</f>
        <v>SCT15CS010</v>
      </c>
      <c r="C18" s="121" t="str">
        <f>'ST-I'!C18</f>
        <v>APARNA S</v>
      </c>
      <c r="D18" s="6"/>
      <c r="E18" s="124">
        <v>10</v>
      </c>
      <c r="F18" s="124">
        <v>10</v>
      </c>
      <c r="G18" s="124">
        <v>2</v>
      </c>
      <c r="H18" s="124">
        <v>8</v>
      </c>
      <c r="I18" s="124">
        <v>5</v>
      </c>
      <c r="J18" s="124"/>
      <c r="K18" s="25"/>
      <c r="L18" s="25"/>
      <c r="M18" s="30"/>
      <c r="N18" s="30"/>
      <c r="O18" s="25"/>
      <c r="P18" s="25"/>
      <c r="Q18" s="22"/>
      <c r="R18" s="22"/>
      <c r="S18" s="22"/>
      <c r="T18" s="26">
        <v>0</v>
      </c>
      <c r="U18" s="26">
        <v>10</v>
      </c>
      <c r="V18" s="26">
        <v>10</v>
      </c>
      <c r="W18" s="26">
        <v>2</v>
      </c>
      <c r="X18" s="26">
        <v>13</v>
      </c>
      <c r="Y18" s="26">
        <v>0</v>
      </c>
      <c r="Z18" s="26">
        <v>0</v>
      </c>
      <c r="AA18" s="26">
        <v>0</v>
      </c>
      <c r="AB18" s="26">
        <v>0</v>
      </c>
      <c r="AC18" s="26">
        <v>0</v>
      </c>
    </row>
    <row r="19" spans="1:29">
      <c r="A19" s="11">
        <v>211</v>
      </c>
      <c r="B19" s="115" t="str">
        <f>'ST-I'!B19</f>
        <v>SCT15CS011</v>
      </c>
      <c r="C19" s="121" t="str">
        <f>'ST-I'!C19</f>
        <v>ARAVIND R</v>
      </c>
      <c r="D19" s="6"/>
      <c r="E19" s="124">
        <v>10</v>
      </c>
      <c r="F19" s="124">
        <v>10</v>
      </c>
      <c r="G19" s="124">
        <v>2</v>
      </c>
      <c r="H19" s="124">
        <v>8</v>
      </c>
      <c r="I19" s="124">
        <v>5</v>
      </c>
      <c r="J19" s="124"/>
      <c r="K19" s="25"/>
      <c r="L19" s="25"/>
      <c r="M19" s="30"/>
      <c r="N19" s="30"/>
      <c r="O19" s="25"/>
      <c r="P19" s="25"/>
      <c r="Q19" s="22"/>
      <c r="R19" s="22"/>
      <c r="S19" s="22"/>
      <c r="T19" s="26">
        <v>0</v>
      </c>
      <c r="U19" s="26">
        <v>10</v>
      </c>
      <c r="V19" s="26">
        <v>10</v>
      </c>
      <c r="W19" s="26">
        <v>2</v>
      </c>
      <c r="X19" s="26">
        <v>13</v>
      </c>
      <c r="Y19" s="26">
        <v>0</v>
      </c>
      <c r="Z19" s="26">
        <v>0</v>
      </c>
      <c r="AA19" s="26">
        <v>0</v>
      </c>
      <c r="AB19" s="26">
        <v>0</v>
      </c>
      <c r="AC19" s="26">
        <v>0</v>
      </c>
    </row>
    <row r="20" spans="1:29">
      <c r="A20" s="11">
        <v>212</v>
      </c>
      <c r="B20" s="115" t="str">
        <f>'ST-I'!B20</f>
        <v>SCT15CS012</v>
      </c>
      <c r="C20" s="121" t="str">
        <f>'ST-I'!C20</f>
        <v>ARJUN MURALEEDHARAN</v>
      </c>
      <c r="D20" s="6"/>
      <c r="E20" s="124">
        <v>10</v>
      </c>
      <c r="F20" s="124">
        <v>10</v>
      </c>
      <c r="G20" s="124">
        <v>2</v>
      </c>
      <c r="H20" s="124">
        <v>8</v>
      </c>
      <c r="I20" s="124">
        <v>5</v>
      </c>
      <c r="J20" s="124"/>
      <c r="K20" s="25"/>
      <c r="L20" s="25"/>
      <c r="M20" s="30"/>
      <c r="N20" s="30"/>
      <c r="O20" s="25"/>
      <c r="P20" s="25"/>
      <c r="Q20" s="22"/>
      <c r="R20" s="22"/>
      <c r="S20" s="22"/>
      <c r="T20" s="26">
        <v>0</v>
      </c>
      <c r="U20" s="26">
        <v>10</v>
      </c>
      <c r="V20" s="26">
        <v>10</v>
      </c>
      <c r="W20" s="26">
        <v>2</v>
      </c>
      <c r="X20" s="26">
        <v>13</v>
      </c>
      <c r="Y20" s="26">
        <v>0</v>
      </c>
      <c r="Z20" s="26">
        <v>0</v>
      </c>
      <c r="AA20" s="26">
        <v>0</v>
      </c>
      <c r="AB20" s="26">
        <v>0</v>
      </c>
      <c r="AC20" s="26">
        <v>0</v>
      </c>
    </row>
    <row r="21" spans="1:29">
      <c r="A21" s="11">
        <v>213</v>
      </c>
      <c r="B21" s="115" t="str">
        <f>'ST-I'!B21</f>
        <v>SCT15CS013</v>
      </c>
      <c r="C21" s="121" t="str">
        <f>'ST-I'!C21</f>
        <v>ARJUN C RAMESH</v>
      </c>
      <c r="D21" s="6"/>
      <c r="E21" s="124">
        <v>10</v>
      </c>
      <c r="F21" s="124">
        <v>10</v>
      </c>
      <c r="G21" s="124">
        <v>10</v>
      </c>
      <c r="H21" s="124">
        <v>10</v>
      </c>
      <c r="I21" s="124">
        <v>10</v>
      </c>
      <c r="J21" s="124"/>
      <c r="K21" s="25"/>
      <c r="L21" s="25"/>
      <c r="M21" s="30"/>
      <c r="N21" s="30"/>
      <c r="O21" s="25"/>
      <c r="P21" s="25"/>
      <c r="Q21" s="22"/>
      <c r="R21" s="22"/>
      <c r="S21" s="22"/>
      <c r="T21" s="26">
        <v>0</v>
      </c>
      <c r="U21" s="26">
        <v>10</v>
      </c>
      <c r="V21" s="26">
        <v>10</v>
      </c>
      <c r="W21" s="26">
        <v>10</v>
      </c>
      <c r="X21" s="26">
        <v>20</v>
      </c>
      <c r="Y21" s="26">
        <v>0</v>
      </c>
      <c r="Z21" s="26">
        <v>0</v>
      </c>
      <c r="AA21" s="26">
        <v>0</v>
      </c>
      <c r="AB21" s="26">
        <v>0</v>
      </c>
      <c r="AC21" s="26">
        <v>0</v>
      </c>
    </row>
    <row r="22" spans="1:29">
      <c r="A22" s="11">
        <v>214</v>
      </c>
      <c r="B22" s="115" t="str">
        <f>'ST-I'!B22</f>
        <v>SCT15CS014</v>
      </c>
      <c r="C22" s="121" t="str">
        <f>'ST-I'!C22</f>
        <v>ARUNDHATI KURUP</v>
      </c>
      <c r="D22" s="6"/>
      <c r="E22" s="124">
        <v>10</v>
      </c>
      <c r="F22" s="124">
        <v>10</v>
      </c>
      <c r="G22" s="124">
        <v>10</v>
      </c>
      <c r="H22" s="124">
        <v>10</v>
      </c>
      <c r="I22" s="124">
        <v>10</v>
      </c>
      <c r="J22" s="124"/>
      <c r="K22" s="25"/>
      <c r="L22" s="25"/>
      <c r="M22" s="30"/>
      <c r="N22" s="30"/>
      <c r="O22" s="25"/>
      <c r="P22" s="25"/>
      <c r="Q22" s="22"/>
      <c r="R22" s="22"/>
      <c r="S22" s="22"/>
      <c r="T22" s="26">
        <v>0</v>
      </c>
      <c r="U22" s="26">
        <v>10</v>
      </c>
      <c r="V22" s="26">
        <v>10</v>
      </c>
      <c r="W22" s="26">
        <v>10</v>
      </c>
      <c r="X22" s="26">
        <v>20</v>
      </c>
      <c r="Y22" s="26">
        <v>0</v>
      </c>
      <c r="Z22" s="26">
        <v>0</v>
      </c>
      <c r="AA22" s="26">
        <v>0</v>
      </c>
      <c r="AB22" s="26">
        <v>0</v>
      </c>
      <c r="AC22" s="26">
        <v>0</v>
      </c>
    </row>
    <row r="23" spans="1:29">
      <c r="A23" s="11">
        <v>215</v>
      </c>
      <c r="B23" s="115" t="str">
        <f>'ST-I'!B23</f>
        <v>SCT15CS015</v>
      </c>
      <c r="C23" s="121" t="str">
        <f>'ST-I'!C23</f>
        <v>ATHIRA S PILLAI</v>
      </c>
      <c r="D23" s="6"/>
      <c r="E23" s="124">
        <v>10</v>
      </c>
      <c r="F23" s="124">
        <v>10</v>
      </c>
      <c r="G23" s="124">
        <v>10</v>
      </c>
      <c r="H23" s="124">
        <v>10</v>
      </c>
      <c r="I23" s="124">
        <v>10</v>
      </c>
      <c r="J23" s="124"/>
      <c r="K23" s="25"/>
      <c r="L23" s="25"/>
      <c r="M23" s="30"/>
      <c r="N23" s="30"/>
      <c r="O23" s="25"/>
      <c r="P23" s="25"/>
      <c r="Q23" s="22"/>
      <c r="R23" s="22"/>
      <c r="S23" s="22"/>
      <c r="T23" s="26">
        <v>0</v>
      </c>
      <c r="U23" s="26">
        <v>10</v>
      </c>
      <c r="V23" s="26">
        <v>10</v>
      </c>
      <c r="W23" s="26">
        <v>10</v>
      </c>
      <c r="X23" s="26">
        <v>20</v>
      </c>
      <c r="Y23" s="26">
        <v>0</v>
      </c>
      <c r="Z23" s="26">
        <v>0</v>
      </c>
      <c r="AA23" s="26">
        <v>0</v>
      </c>
      <c r="AB23" s="26">
        <v>0</v>
      </c>
      <c r="AC23" s="26">
        <v>0</v>
      </c>
    </row>
    <row r="24" spans="1:29">
      <c r="A24" s="11">
        <v>216</v>
      </c>
      <c r="B24" s="115" t="str">
        <f>'ST-I'!B24</f>
        <v>SCT15CS016</v>
      </c>
      <c r="C24" s="121" t="str">
        <f>'ST-I'!C24</f>
        <v>ATHUL RAJ</v>
      </c>
      <c r="D24" s="6"/>
      <c r="E24" s="124">
        <v>10</v>
      </c>
      <c r="F24" s="124">
        <v>10</v>
      </c>
      <c r="G24" s="124">
        <v>10</v>
      </c>
      <c r="H24" s="124">
        <v>10</v>
      </c>
      <c r="I24" s="124">
        <v>10</v>
      </c>
      <c r="J24" s="124"/>
      <c r="K24" s="25"/>
      <c r="L24" s="25"/>
      <c r="M24" s="30"/>
      <c r="N24" s="30"/>
      <c r="O24" s="25"/>
      <c r="P24" s="25"/>
      <c r="Q24" s="22"/>
      <c r="R24" s="22"/>
      <c r="S24" s="22"/>
      <c r="T24" s="26">
        <v>0</v>
      </c>
      <c r="U24" s="26">
        <v>10</v>
      </c>
      <c r="V24" s="26">
        <v>10</v>
      </c>
      <c r="W24" s="26">
        <v>10</v>
      </c>
      <c r="X24" s="26">
        <v>20</v>
      </c>
      <c r="Y24" s="26">
        <v>0</v>
      </c>
      <c r="Z24" s="26">
        <v>0</v>
      </c>
      <c r="AA24" s="26">
        <v>0</v>
      </c>
      <c r="AB24" s="26">
        <v>0</v>
      </c>
      <c r="AC24" s="26">
        <v>0</v>
      </c>
    </row>
    <row r="25" spans="1:29">
      <c r="A25" s="11">
        <v>217</v>
      </c>
      <c r="B25" s="115" t="str">
        <f>'ST-I'!B25</f>
        <v>SCT15CS017</v>
      </c>
      <c r="C25" s="121" t="str">
        <f>'ST-I'!C25</f>
        <v>ATHULYA AL</v>
      </c>
      <c r="D25" s="6"/>
      <c r="E25" s="124">
        <v>3</v>
      </c>
      <c r="F25" s="124">
        <v>3</v>
      </c>
      <c r="G25" s="124">
        <v>0</v>
      </c>
      <c r="H25" s="124">
        <v>1</v>
      </c>
      <c r="I25" s="124">
        <v>2</v>
      </c>
      <c r="J25" s="124"/>
      <c r="K25" s="25"/>
      <c r="L25" s="25"/>
      <c r="M25" s="30"/>
      <c r="N25" s="30"/>
      <c r="O25" s="25"/>
      <c r="P25" s="25"/>
      <c r="Q25" s="22"/>
      <c r="R25" s="22"/>
      <c r="S25" s="22"/>
      <c r="T25" s="26">
        <v>0</v>
      </c>
      <c r="U25" s="26">
        <v>3</v>
      </c>
      <c r="V25" s="26">
        <v>3</v>
      </c>
      <c r="W25" s="26">
        <v>0</v>
      </c>
      <c r="X25" s="26">
        <v>3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</row>
    <row r="26" spans="1:29">
      <c r="A26" s="11">
        <v>218</v>
      </c>
      <c r="B26" s="115" t="str">
        <f>'ST-I'!B26</f>
        <v>SCT15CS018</v>
      </c>
      <c r="C26" s="121" t="str">
        <f>'ST-I'!C26</f>
        <v>CYRIL SUNNY</v>
      </c>
      <c r="D26" s="6"/>
      <c r="E26" s="124">
        <v>3</v>
      </c>
      <c r="F26" s="124">
        <v>3</v>
      </c>
      <c r="G26" s="124">
        <v>0</v>
      </c>
      <c r="H26" s="124">
        <v>1</v>
      </c>
      <c r="I26" s="124">
        <v>2</v>
      </c>
      <c r="J26" s="124"/>
      <c r="K26" s="25"/>
      <c r="L26" s="25"/>
      <c r="M26" s="30"/>
      <c r="N26" s="30"/>
      <c r="O26" s="25"/>
      <c r="P26" s="25"/>
      <c r="Q26" s="22"/>
      <c r="R26" s="22"/>
      <c r="S26" s="22"/>
      <c r="T26" s="26">
        <v>0</v>
      </c>
      <c r="U26" s="26">
        <v>3</v>
      </c>
      <c r="V26" s="26">
        <v>3</v>
      </c>
      <c r="W26" s="26">
        <v>0</v>
      </c>
      <c r="X26" s="26">
        <v>3</v>
      </c>
      <c r="Y26" s="26">
        <v>0</v>
      </c>
      <c r="Z26" s="26">
        <v>0</v>
      </c>
      <c r="AA26" s="26">
        <v>0</v>
      </c>
      <c r="AB26" s="26">
        <v>0</v>
      </c>
      <c r="AC26" s="26">
        <v>0</v>
      </c>
    </row>
    <row r="27" spans="1:29">
      <c r="A27" s="11">
        <v>219</v>
      </c>
      <c r="B27" s="115" t="str">
        <f>'ST-I'!B27</f>
        <v>SCT15CS019</v>
      </c>
      <c r="C27" s="121" t="str">
        <f>'ST-I'!C27</f>
        <v>DEEPAK R B</v>
      </c>
      <c r="D27" s="6"/>
      <c r="E27" s="124">
        <v>3</v>
      </c>
      <c r="F27" s="124">
        <v>3</v>
      </c>
      <c r="G27" s="124">
        <v>0</v>
      </c>
      <c r="H27" s="124">
        <v>1</v>
      </c>
      <c r="I27" s="124">
        <v>2</v>
      </c>
      <c r="J27" s="124"/>
      <c r="K27" s="25"/>
      <c r="L27" s="25"/>
      <c r="M27" s="30"/>
      <c r="N27" s="30"/>
      <c r="O27" s="25"/>
      <c r="P27" s="25"/>
      <c r="Q27" s="22"/>
      <c r="R27" s="22"/>
      <c r="S27" s="22"/>
      <c r="T27" s="26">
        <v>0</v>
      </c>
      <c r="U27" s="26">
        <v>3</v>
      </c>
      <c r="V27" s="26">
        <v>3</v>
      </c>
      <c r="W27" s="26">
        <v>0</v>
      </c>
      <c r="X27" s="26">
        <v>3</v>
      </c>
      <c r="Y27" s="26">
        <v>0</v>
      </c>
      <c r="Z27" s="26">
        <v>0</v>
      </c>
      <c r="AA27" s="26">
        <v>0</v>
      </c>
      <c r="AB27" s="26">
        <v>0</v>
      </c>
      <c r="AC27" s="26">
        <v>0</v>
      </c>
    </row>
    <row r="28" spans="1:29">
      <c r="A28" s="11">
        <v>220</v>
      </c>
      <c r="B28" s="115" t="str">
        <f>'ST-I'!B28</f>
        <v>SCT15CS020</v>
      </c>
      <c r="C28" s="121" t="str">
        <f>'ST-I'!C28</f>
        <v>DEEPAK S S</v>
      </c>
      <c r="D28" s="6"/>
      <c r="E28" s="124">
        <v>0</v>
      </c>
      <c r="F28" s="124">
        <v>0</v>
      </c>
      <c r="G28" s="124">
        <v>0</v>
      </c>
      <c r="H28" s="124">
        <v>0</v>
      </c>
      <c r="I28" s="124">
        <v>0</v>
      </c>
      <c r="J28" s="124"/>
      <c r="K28" s="25"/>
      <c r="L28" s="25"/>
      <c r="M28" s="30"/>
      <c r="N28" s="30"/>
      <c r="O28" s="30"/>
      <c r="P28" s="30"/>
      <c r="Q28" s="22"/>
      <c r="R28" s="22"/>
      <c r="S28" s="22"/>
      <c r="T28" s="26">
        <v>0</v>
      </c>
      <c r="U28" s="26">
        <v>0</v>
      </c>
      <c r="V28" s="26">
        <v>0</v>
      </c>
      <c r="W28" s="26">
        <v>0</v>
      </c>
      <c r="X28" s="26">
        <v>0</v>
      </c>
      <c r="Y28" s="26">
        <v>0</v>
      </c>
      <c r="Z28" s="26">
        <v>0</v>
      </c>
      <c r="AA28" s="26">
        <v>0</v>
      </c>
      <c r="AB28" s="26">
        <v>0</v>
      </c>
      <c r="AC28" s="26">
        <v>0</v>
      </c>
    </row>
    <row r="29" spans="1:29">
      <c r="A29" s="11">
        <v>221</v>
      </c>
      <c r="B29" s="115" t="str">
        <f>'ST-I'!B29</f>
        <v>SCT15CS021</v>
      </c>
      <c r="C29" s="121" t="str">
        <f>'ST-I'!C29</f>
        <v>DISHA D MAJITHIA</v>
      </c>
      <c r="D29" s="6"/>
      <c r="E29" s="124">
        <v>4</v>
      </c>
      <c r="F29" s="124">
        <v>7</v>
      </c>
      <c r="G29" s="124">
        <v>0</v>
      </c>
      <c r="H29" s="124">
        <v>5</v>
      </c>
      <c r="I29" s="124">
        <v>4</v>
      </c>
      <c r="J29" s="124"/>
      <c r="K29" s="25"/>
      <c r="L29" s="25"/>
      <c r="M29" s="30"/>
      <c r="N29" s="30"/>
      <c r="O29" s="25"/>
      <c r="P29" s="25"/>
      <c r="Q29" s="22"/>
      <c r="R29" s="22"/>
      <c r="S29" s="22"/>
      <c r="T29" s="26">
        <v>0</v>
      </c>
      <c r="U29" s="26">
        <v>4</v>
      </c>
      <c r="V29" s="26">
        <v>7</v>
      </c>
      <c r="W29" s="26">
        <v>0</v>
      </c>
      <c r="X29" s="26">
        <v>9</v>
      </c>
      <c r="Y29" s="26">
        <v>0</v>
      </c>
      <c r="Z29" s="26">
        <v>0</v>
      </c>
      <c r="AA29" s="26">
        <v>0</v>
      </c>
      <c r="AB29" s="26">
        <v>0</v>
      </c>
      <c r="AC29" s="26">
        <v>0</v>
      </c>
    </row>
    <row r="30" spans="1:29">
      <c r="A30" s="11">
        <v>222</v>
      </c>
      <c r="B30" s="115" t="str">
        <f>'ST-I'!B30</f>
        <v>SCT15CS022</v>
      </c>
      <c r="C30" s="121" t="str">
        <f>'ST-I'!C30</f>
        <v>EBIN J</v>
      </c>
      <c r="D30" s="6"/>
      <c r="E30" s="124">
        <v>4</v>
      </c>
      <c r="F30" s="124">
        <v>7</v>
      </c>
      <c r="G30" s="124">
        <v>0</v>
      </c>
      <c r="H30" s="124">
        <v>5</v>
      </c>
      <c r="I30" s="124">
        <v>4</v>
      </c>
      <c r="J30" s="124"/>
      <c r="K30" s="25"/>
      <c r="L30" s="25"/>
      <c r="M30" s="30"/>
      <c r="N30" s="30"/>
      <c r="O30" s="25"/>
      <c r="P30" s="25"/>
      <c r="Q30" s="22"/>
      <c r="R30" s="22"/>
      <c r="S30" s="22"/>
      <c r="T30" s="26">
        <v>0</v>
      </c>
      <c r="U30" s="26">
        <v>4</v>
      </c>
      <c r="V30" s="26">
        <v>7</v>
      </c>
      <c r="W30" s="26">
        <v>0</v>
      </c>
      <c r="X30" s="26">
        <v>9</v>
      </c>
      <c r="Y30" s="26">
        <v>0</v>
      </c>
      <c r="Z30" s="26">
        <v>0</v>
      </c>
      <c r="AA30" s="26">
        <v>0</v>
      </c>
      <c r="AB30" s="26">
        <v>0</v>
      </c>
      <c r="AC30" s="26">
        <v>0</v>
      </c>
    </row>
    <row r="31" spans="1:29">
      <c r="A31" s="11">
        <v>223</v>
      </c>
      <c r="B31" s="115" t="str">
        <f>'ST-I'!B31</f>
        <v>SCT15CS023</v>
      </c>
      <c r="C31" s="121" t="str">
        <f>'ST-I'!C31</f>
        <v>FAISAL MOHAMMED A</v>
      </c>
      <c r="D31" s="6"/>
      <c r="E31" s="124">
        <v>4</v>
      </c>
      <c r="F31" s="124">
        <v>7</v>
      </c>
      <c r="G31" s="124">
        <v>0</v>
      </c>
      <c r="H31" s="124">
        <v>5</v>
      </c>
      <c r="I31" s="124">
        <v>4</v>
      </c>
      <c r="J31" s="124"/>
      <c r="K31" s="25"/>
      <c r="L31" s="25"/>
      <c r="M31" s="30"/>
      <c r="N31" s="30"/>
      <c r="O31" s="25"/>
      <c r="P31" s="25"/>
      <c r="Q31" s="22"/>
      <c r="R31" s="22"/>
      <c r="S31" s="22"/>
      <c r="T31" s="26">
        <v>0</v>
      </c>
      <c r="U31" s="26">
        <v>4</v>
      </c>
      <c r="V31" s="26">
        <v>7</v>
      </c>
      <c r="W31" s="26">
        <v>0</v>
      </c>
      <c r="X31" s="26">
        <v>9</v>
      </c>
      <c r="Y31" s="26">
        <v>0</v>
      </c>
      <c r="Z31" s="26">
        <v>0</v>
      </c>
      <c r="AA31" s="26">
        <v>0</v>
      </c>
      <c r="AB31" s="26">
        <v>0</v>
      </c>
      <c r="AC31" s="26">
        <v>0</v>
      </c>
    </row>
    <row r="32" spans="1:29">
      <c r="A32" s="11">
        <v>224</v>
      </c>
      <c r="B32" s="115" t="str">
        <f>'ST-I'!B32</f>
        <v>SCT15CS024</v>
      </c>
      <c r="C32" s="121" t="str">
        <f>'ST-I'!C32</f>
        <v>GAYATHRI S</v>
      </c>
      <c r="D32" s="6"/>
      <c r="E32" s="124">
        <v>4</v>
      </c>
      <c r="F32" s="124">
        <v>7</v>
      </c>
      <c r="G32" s="124">
        <v>0</v>
      </c>
      <c r="H32" s="124">
        <v>5</v>
      </c>
      <c r="I32" s="124">
        <v>4</v>
      </c>
      <c r="J32" s="124"/>
      <c r="K32" s="25"/>
      <c r="L32" s="25"/>
      <c r="M32" s="30"/>
      <c r="N32" s="30"/>
      <c r="O32" s="30"/>
      <c r="P32" s="30"/>
      <c r="Q32" s="22"/>
      <c r="R32" s="22"/>
      <c r="S32" s="22"/>
      <c r="T32" s="26">
        <v>0</v>
      </c>
      <c r="U32" s="26">
        <v>4</v>
      </c>
      <c r="V32" s="26">
        <v>7</v>
      </c>
      <c r="W32" s="26">
        <v>0</v>
      </c>
      <c r="X32" s="26">
        <v>9</v>
      </c>
      <c r="Y32" s="26">
        <v>0</v>
      </c>
      <c r="Z32" s="26">
        <v>0</v>
      </c>
      <c r="AA32" s="26">
        <v>0</v>
      </c>
      <c r="AB32" s="26">
        <v>0</v>
      </c>
      <c r="AC32" s="26">
        <v>0</v>
      </c>
    </row>
    <row r="33" spans="1:29">
      <c r="A33" s="11">
        <v>225</v>
      </c>
      <c r="B33" s="115" t="str">
        <f>'ST-I'!B33</f>
        <v>SCT15CS025</v>
      </c>
      <c r="C33" s="121" t="str">
        <f>'ST-I'!C33</f>
        <v>GOPIKA M</v>
      </c>
      <c r="D33" s="6"/>
      <c r="E33" s="124">
        <v>10</v>
      </c>
      <c r="F33" s="124">
        <v>10</v>
      </c>
      <c r="G33" s="124">
        <v>10</v>
      </c>
      <c r="H33" s="124">
        <v>10</v>
      </c>
      <c r="I33" s="124">
        <v>10</v>
      </c>
      <c r="J33" s="124"/>
      <c r="K33" s="25"/>
      <c r="L33" s="25"/>
      <c r="M33" s="30"/>
      <c r="N33" s="30"/>
      <c r="O33" s="30"/>
      <c r="P33" s="30"/>
      <c r="Q33" s="22"/>
      <c r="R33" s="22"/>
      <c r="S33" s="22"/>
      <c r="T33" s="26">
        <v>0</v>
      </c>
      <c r="U33" s="26">
        <v>10</v>
      </c>
      <c r="V33" s="26">
        <v>10</v>
      </c>
      <c r="W33" s="26">
        <v>10</v>
      </c>
      <c r="X33" s="26">
        <v>20</v>
      </c>
      <c r="Y33" s="26">
        <v>0</v>
      </c>
      <c r="Z33" s="26">
        <v>0</v>
      </c>
      <c r="AA33" s="26">
        <v>0</v>
      </c>
      <c r="AB33" s="26">
        <v>0</v>
      </c>
      <c r="AC33" s="26">
        <v>0</v>
      </c>
    </row>
    <row r="34" spans="1:29">
      <c r="A34" s="11">
        <v>226</v>
      </c>
      <c r="B34" s="115" t="str">
        <f>'ST-I'!B34</f>
        <v>SCT15CS026</v>
      </c>
      <c r="C34" s="121" t="str">
        <f>'ST-I'!C34</f>
        <v>GOURY JYOTHISH</v>
      </c>
      <c r="D34" s="6"/>
      <c r="E34" s="124">
        <v>10</v>
      </c>
      <c r="F34" s="124">
        <v>10</v>
      </c>
      <c r="G34" s="124">
        <v>10</v>
      </c>
      <c r="H34" s="124">
        <v>10</v>
      </c>
      <c r="I34" s="124">
        <v>10</v>
      </c>
      <c r="J34" s="124"/>
      <c r="K34" s="25"/>
      <c r="L34" s="25"/>
      <c r="M34" s="30"/>
      <c r="N34" s="30"/>
      <c r="O34" s="25"/>
      <c r="P34" s="25"/>
      <c r="Q34" s="22"/>
      <c r="R34" s="22"/>
      <c r="S34" s="22"/>
      <c r="T34" s="26">
        <v>0</v>
      </c>
      <c r="U34" s="26">
        <v>10</v>
      </c>
      <c r="V34" s="26">
        <v>10</v>
      </c>
      <c r="W34" s="26">
        <v>10</v>
      </c>
      <c r="X34" s="26">
        <v>20</v>
      </c>
      <c r="Y34" s="26">
        <v>0</v>
      </c>
      <c r="Z34" s="26">
        <v>0</v>
      </c>
      <c r="AA34" s="26">
        <v>0</v>
      </c>
      <c r="AB34" s="26">
        <v>0</v>
      </c>
      <c r="AC34" s="26">
        <v>0</v>
      </c>
    </row>
    <row r="35" spans="1:29">
      <c r="A35" s="11">
        <v>227</v>
      </c>
      <c r="B35" s="115" t="str">
        <f>'ST-I'!B35</f>
        <v>SCT15CS027</v>
      </c>
      <c r="C35" s="121" t="str">
        <f>'ST-I'!C35</f>
        <v>GOVIND G S</v>
      </c>
      <c r="D35" s="6"/>
      <c r="E35" s="124">
        <v>10</v>
      </c>
      <c r="F35" s="124">
        <v>10</v>
      </c>
      <c r="G35" s="124">
        <v>10</v>
      </c>
      <c r="H35" s="124">
        <v>10</v>
      </c>
      <c r="I35" s="124">
        <v>10</v>
      </c>
      <c r="J35" s="124"/>
      <c r="K35" s="25"/>
      <c r="L35" s="25"/>
      <c r="M35" s="30"/>
      <c r="N35" s="30"/>
      <c r="O35" s="25"/>
      <c r="P35" s="25"/>
      <c r="Q35" s="22"/>
      <c r="R35" s="22"/>
      <c r="S35" s="22"/>
      <c r="T35" s="26">
        <v>0</v>
      </c>
      <c r="U35" s="26">
        <v>10</v>
      </c>
      <c r="V35" s="26">
        <v>10</v>
      </c>
      <c r="W35" s="26">
        <v>10</v>
      </c>
      <c r="X35" s="26">
        <v>20</v>
      </c>
      <c r="Y35" s="26">
        <v>0</v>
      </c>
      <c r="Z35" s="26">
        <v>0</v>
      </c>
      <c r="AA35" s="26">
        <v>0</v>
      </c>
      <c r="AB35" s="26">
        <v>0</v>
      </c>
      <c r="AC35" s="26">
        <v>0</v>
      </c>
    </row>
    <row r="36" spans="1:29">
      <c r="A36" s="11">
        <v>228</v>
      </c>
      <c r="B36" s="115" t="str">
        <f>'ST-I'!B36</f>
        <v>SCT15CS028</v>
      </c>
      <c r="C36" s="121" t="str">
        <f>'ST-I'!C36</f>
        <v>GOVIND P</v>
      </c>
      <c r="D36" s="6"/>
      <c r="E36" s="124">
        <v>10</v>
      </c>
      <c r="F36" s="124">
        <v>10</v>
      </c>
      <c r="G36" s="124">
        <v>10</v>
      </c>
      <c r="H36" s="124">
        <v>10</v>
      </c>
      <c r="I36" s="124">
        <v>10</v>
      </c>
      <c r="J36" s="124"/>
      <c r="K36" s="25"/>
      <c r="L36" s="25"/>
      <c r="M36" s="30"/>
      <c r="N36" s="30"/>
      <c r="O36" s="25"/>
      <c r="P36" s="25"/>
      <c r="Q36" s="22"/>
      <c r="R36" s="22"/>
      <c r="S36" s="22"/>
      <c r="T36" s="26">
        <v>0</v>
      </c>
      <c r="U36" s="26">
        <v>10</v>
      </c>
      <c r="V36" s="26">
        <v>10</v>
      </c>
      <c r="W36" s="26">
        <v>10</v>
      </c>
      <c r="X36" s="26">
        <v>20</v>
      </c>
      <c r="Y36" s="26">
        <v>0</v>
      </c>
      <c r="Z36" s="26">
        <v>0</v>
      </c>
      <c r="AA36" s="26">
        <v>0</v>
      </c>
      <c r="AB36" s="26">
        <v>0</v>
      </c>
      <c r="AC36" s="26">
        <v>0</v>
      </c>
    </row>
    <row r="37" spans="1:29">
      <c r="A37" s="11">
        <v>229</v>
      </c>
      <c r="B37" s="115" t="str">
        <f>'ST-I'!B37</f>
        <v>SCT15CS029</v>
      </c>
      <c r="C37" s="121" t="str">
        <f>'ST-I'!C37</f>
        <v>HIMA BINDU BHARDWAJ</v>
      </c>
      <c r="D37" s="6"/>
      <c r="E37" s="124">
        <v>10</v>
      </c>
      <c r="F37" s="124">
        <v>10</v>
      </c>
      <c r="G37" s="124">
        <v>10</v>
      </c>
      <c r="H37" s="124">
        <v>10</v>
      </c>
      <c r="I37" s="124">
        <v>10</v>
      </c>
      <c r="J37" s="124"/>
      <c r="K37" s="25"/>
      <c r="L37" s="25"/>
      <c r="M37" s="30"/>
      <c r="N37" s="30"/>
      <c r="O37" s="25"/>
      <c r="P37" s="25"/>
      <c r="Q37" s="22"/>
      <c r="R37" s="22"/>
      <c r="S37" s="22"/>
      <c r="T37" s="26">
        <v>0</v>
      </c>
      <c r="U37" s="26">
        <v>10</v>
      </c>
      <c r="V37" s="26">
        <v>10</v>
      </c>
      <c r="W37" s="26">
        <v>10</v>
      </c>
      <c r="X37" s="26">
        <v>20</v>
      </c>
      <c r="Y37" s="26">
        <v>0</v>
      </c>
      <c r="Z37" s="26">
        <v>0</v>
      </c>
      <c r="AA37" s="26">
        <v>0</v>
      </c>
      <c r="AB37" s="26">
        <v>0</v>
      </c>
      <c r="AC37" s="26">
        <v>0</v>
      </c>
    </row>
    <row r="38" spans="1:29">
      <c r="A38" s="11">
        <v>230</v>
      </c>
      <c r="B38" s="115" t="str">
        <f>'ST-I'!B38</f>
        <v>SCT15CS030</v>
      </c>
      <c r="C38" s="121" t="str">
        <f>'ST-I'!C38</f>
        <v>J S MALINI</v>
      </c>
      <c r="D38" s="6"/>
      <c r="E38" s="124">
        <v>10</v>
      </c>
      <c r="F38" s="124">
        <v>10</v>
      </c>
      <c r="G38" s="124">
        <v>10</v>
      </c>
      <c r="H38" s="124">
        <v>10</v>
      </c>
      <c r="I38" s="124">
        <v>10</v>
      </c>
      <c r="J38" s="124"/>
      <c r="K38" s="25"/>
      <c r="L38" s="25"/>
      <c r="M38" s="30"/>
      <c r="N38" s="30"/>
      <c r="O38" s="30"/>
      <c r="P38" s="30"/>
      <c r="Q38" s="22"/>
      <c r="R38" s="22"/>
      <c r="S38" s="22"/>
      <c r="T38" s="26">
        <v>0</v>
      </c>
      <c r="U38" s="26">
        <v>10</v>
      </c>
      <c r="V38" s="26">
        <v>10</v>
      </c>
      <c r="W38" s="26">
        <v>10</v>
      </c>
      <c r="X38" s="26">
        <v>20</v>
      </c>
      <c r="Y38" s="26">
        <v>0</v>
      </c>
      <c r="Z38" s="26">
        <v>0</v>
      </c>
      <c r="AA38" s="26">
        <v>0</v>
      </c>
      <c r="AB38" s="26">
        <v>0</v>
      </c>
      <c r="AC38" s="26">
        <v>0</v>
      </c>
    </row>
    <row r="39" spans="1:29">
      <c r="A39" s="11">
        <v>231</v>
      </c>
      <c r="B39" s="115" t="str">
        <f>'ST-I'!B39</f>
        <v>SCT15CS031</v>
      </c>
      <c r="C39" s="121" t="str">
        <f>'ST-I'!C39</f>
        <v>JEBBY JOSEPH</v>
      </c>
      <c r="D39" s="6"/>
      <c r="E39" s="124">
        <v>10</v>
      </c>
      <c r="F39" s="124">
        <v>10</v>
      </c>
      <c r="G39" s="124">
        <v>10</v>
      </c>
      <c r="H39" s="124">
        <v>10</v>
      </c>
      <c r="I39" s="124">
        <v>2</v>
      </c>
      <c r="J39" s="124"/>
      <c r="K39" s="25"/>
      <c r="L39" s="25"/>
      <c r="M39" s="30"/>
      <c r="N39" s="30"/>
      <c r="O39" s="25"/>
      <c r="P39" s="25"/>
      <c r="Q39" s="22"/>
      <c r="R39" s="22"/>
      <c r="S39" s="22"/>
      <c r="T39" s="26">
        <v>0</v>
      </c>
      <c r="U39" s="26">
        <v>10</v>
      </c>
      <c r="V39" s="26">
        <v>10</v>
      </c>
      <c r="W39" s="26">
        <v>10</v>
      </c>
      <c r="X39" s="26">
        <v>12</v>
      </c>
      <c r="Y39" s="26">
        <v>0</v>
      </c>
      <c r="Z39" s="26">
        <v>0</v>
      </c>
      <c r="AA39" s="26">
        <v>0</v>
      </c>
      <c r="AB39" s="26">
        <v>0</v>
      </c>
      <c r="AC39" s="26">
        <v>0</v>
      </c>
    </row>
    <row r="40" spans="1:29">
      <c r="A40" s="11">
        <v>232</v>
      </c>
      <c r="B40" s="115" t="str">
        <f>'ST-I'!B40</f>
        <v>SCT15CS032</v>
      </c>
      <c r="C40" s="121" t="str">
        <f>'ST-I'!C40</f>
        <v>JISO K JOY</v>
      </c>
      <c r="D40" s="6"/>
      <c r="E40" s="124">
        <v>10</v>
      </c>
      <c r="F40" s="124">
        <v>10</v>
      </c>
      <c r="G40" s="124">
        <v>10</v>
      </c>
      <c r="H40" s="124">
        <v>10</v>
      </c>
      <c r="I40" s="124">
        <v>10</v>
      </c>
      <c r="J40" s="124"/>
      <c r="K40" s="25"/>
      <c r="L40" s="25"/>
      <c r="M40" s="30"/>
      <c r="N40" s="30"/>
      <c r="O40" s="25"/>
      <c r="P40" s="25"/>
      <c r="Q40" s="22"/>
      <c r="R40" s="22"/>
      <c r="S40" s="22"/>
      <c r="T40" s="26">
        <v>0</v>
      </c>
      <c r="U40" s="26">
        <v>10</v>
      </c>
      <c r="V40" s="26">
        <v>10</v>
      </c>
      <c r="W40" s="26">
        <v>10</v>
      </c>
      <c r="X40" s="26">
        <v>20</v>
      </c>
      <c r="Y40" s="26">
        <v>0</v>
      </c>
      <c r="Z40" s="26">
        <v>0</v>
      </c>
      <c r="AA40" s="26">
        <v>0</v>
      </c>
      <c r="AB40" s="26">
        <v>0</v>
      </c>
      <c r="AC40" s="26">
        <v>0</v>
      </c>
    </row>
    <row r="41" spans="1:29">
      <c r="A41" s="11">
        <v>233</v>
      </c>
      <c r="B41" s="115" t="str">
        <f>'ST-I'!B41</f>
        <v>SCT15CS033</v>
      </c>
      <c r="C41" s="121" t="str">
        <f>'ST-I'!C41</f>
        <v>KANNAN K D P</v>
      </c>
      <c r="D41" s="6"/>
      <c r="E41" s="124">
        <v>10</v>
      </c>
      <c r="F41" s="124">
        <v>10</v>
      </c>
      <c r="G41" s="124">
        <v>10</v>
      </c>
      <c r="H41" s="124">
        <v>10</v>
      </c>
      <c r="I41" s="124">
        <v>10</v>
      </c>
      <c r="J41" s="124"/>
      <c r="K41" s="25"/>
      <c r="L41" s="25"/>
      <c r="M41" s="30"/>
      <c r="N41" s="30"/>
      <c r="O41" s="25"/>
      <c r="P41" s="25"/>
      <c r="Q41" s="22"/>
      <c r="R41" s="22"/>
      <c r="S41" s="22"/>
      <c r="T41" s="26">
        <v>0</v>
      </c>
      <c r="U41" s="26">
        <v>10</v>
      </c>
      <c r="V41" s="26">
        <v>10</v>
      </c>
      <c r="W41" s="26">
        <v>10</v>
      </c>
      <c r="X41" s="26">
        <v>20</v>
      </c>
      <c r="Y41" s="26">
        <v>0</v>
      </c>
      <c r="Z41" s="26">
        <v>0</v>
      </c>
      <c r="AA41" s="26">
        <v>0</v>
      </c>
      <c r="AB41" s="26">
        <v>0</v>
      </c>
      <c r="AC41" s="26">
        <v>0</v>
      </c>
    </row>
    <row r="42" spans="1:29">
      <c r="A42" s="11">
        <v>234</v>
      </c>
      <c r="B42" s="115" t="str">
        <f>'ST-I'!B42</f>
        <v>SCT15CS034</v>
      </c>
      <c r="C42" s="121" t="str">
        <f>'ST-I'!C42</f>
        <v>KARTHIKA KRISHNA</v>
      </c>
      <c r="D42" s="6"/>
      <c r="E42" s="124">
        <v>10</v>
      </c>
      <c r="F42" s="124">
        <v>10</v>
      </c>
      <c r="G42" s="124">
        <v>10</v>
      </c>
      <c r="H42" s="124">
        <v>10</v>
      </c>
      <c r="I42" s="124">
        <v>10</v>
      </c>
      <c r="J42" s="124"/>
      <c r="K42" s="25"/>
      <c r="L42" s="25"/>
      <c r="M42" s="30"/>
      <c r="N42" s="30"/>
      <c r="O42" s="30"/>
      <c r="P42" s="30"/>
      <c r="Q42" s="22"/>
      <c r="R42" s="22"/>
      <c r="S42" s="22"/>
      <c r="T42" s="26">
        <v>0</v>
      </c>
      <c r="U42" s="26">
        <v>10</v>
      </c>
      <c r="V42" s="26">
        <v>10</v>
      </c>
      <c r="W42" s="26">
        <v>10</v>
      </c>
      <c r="X42" s="26">
        <v>20</v>
      </c>
      <c r="Y42" s="26">
        <v>0</v>
      </c>
      <c r="Z42" s="26">
        <v>0</v>
      </c>
      <c r="AA42" s="26">
        <v>0</v>
      </c>
      <c r="AB42" s="26">
        <v>0</v>
      </c>
      <c r="AC42" s="26">
        <v>0</v>
      </c>
    </row>
    <row r="43" spans="1:29">
      <c r="A43" s="11">
        <v>235</v>
      </c>
      <c r="B43" s="115" t="str">
        <f>'ST-I'!B43</f>
        <v>SCT15CS035</v>
      </c>
      <c r="C43" s="121" t="str">
        <f>'ST-I'!C43</f>
        <v>KARTHIKA PRADEEP</v>
      </c>
      <c r="D43" s="6"/>
      <c r="E43" s="124">
        <v>10</v>
      </c>
      <c r="F43" s="124">
        <v>10</v>
      </c>
      <c r="G43" s="124">
        <v>10</v>
      </c>
      <c r="H43" s="124">
        <v>10</v>
      </c>
      <c r="I43" s="124">
        <v>10</v>
      </c>
      <c r="J43" s="124"/>
      <c r="K43" s="25"/>
      <c r="L43" s="25"/>
      <c r="M43" s="30"/>
      <c r="N43" s="30"/>
      <c r="O43" s="25"/>
      <c r="P43" s="25"/>
      <c r="Q43" s="22"/>
      <c r="R43" s="22"/>
      <c r="S43" s="22"/>
      <c r="T43" s="26">
        <v>0</v>
      </c>
      <c r="U43" s="26">
        <v>10</v>
      </c>
      <c r="V43" s="26">
        <v>10</v>
      </c>
      <c r="W43" s="26">
        <v>10</v>
      </c>
      <c r="X43" s="26">
        <v>20</v>
      </c>
      <c r="Y43" s="26">
        <v>0</v>
      </c>
      <c r="Z43" s="26">
        <v>0</v>
      </c>
      <c r="AA43" s="26">
        <v>0</v>
      </c>
      <c r="AB43" s="26">
        <v>0</v>
      </c>
      <c r="AC43" s="26">
        <v>0</v>
      </c>
    </row>
    <row r="44" spans="1:29">
      <c r="A44" s="11">
        <v>236</v>
      </c>
      <c r="B44" s="115" t="str">
        <f>'ST-I'!B44</f>
        <v>SCT15CS036</v>
      </c>
      <c r="C44" s="121" t="str">
        <f>'ST-I'!C44</f>
        <v>KAVYA SHAJU</v>
      </c>
      <c r="D44" s="6"/>
      <c r="E44" s="124">
        <v>10</v>
      </c>
      <c r="F44" s="124">
        <v>10</v>
      </c>
      <c r="G44" s="124">
        <v>10</v>
      </c>
      <c r="H44" s="124">
        <v>10</v>
      </c>
      <c r="I44" s="124">
        <v>10</v>
      </c>
      <c r="J44" s="124"/>
      <c r="K44" s="25"/>
      <c r="L44" s="25"/>
      <c r="M44" s="30"/>
      <c r="N44" s="30"/>
      <c r="O44" s="25"/>
      <c r="P44" s="25"/>
      <c r="Q44" s="22"/>
      <c r="R44" s="22"/>
      <c r="S44" s="22"/>
      <c r="T44" s="26">
        <v>0</v>
      </c>
      <c r="U44" s="26">
        <v>10</v>
      </c>
      <c r="V44" s="26">
        <v>10</v>
      </c>
      <c r="W44" s="26">
        <v>10</v>
      </c>
      <c r="X44" s="26">
        <v>20</v>
      </c>
      <c r="Y44" s="26">
        <v>0</v>
      </c>
      <c r="Z44" s="26">
        <v>0</v>
      </c>
      <c r="AA44" s="26">
        <v>0</v>
      </c>
      <c r="AB44" s="26">
        <v>0</v>
      </c>
      <c r="AC44" s="26">
        <v>0</v>
      </c>
    </row>
    <row r="45" spans="1:29">
      <c r="A45" s="11">
        <v>237</v>
      </c>
      <c r="B45" s="115" t="str">
        <f>'ST-I'!B45</f>
        <v>SCT15CS037</v>
      </c>
      <c r="C45" s="121" t="str">
        <f>'ST-I'!C45</f>
        <v>KRISHNA RAJ R</v>
      </c>
      <c r="D45" s="6"/>
      <c r="E45" s="124">
        <v>10</v>
      </c>
      <c r="F45" s="124">
        <v>10</v>
      </c>
      <c r="G45" s="124">
        <v>10</v>
      </c>
      <c r="H45" s="124">
        <v>10</v>
      </c>
      <c r="I45" s="124">
        <v>10</v>
      </c>
      <c r="J45" s="124"/>
      <c r="K45" s="25"/>
      <c r="L45" s="25"/>
      <c r="M45" s="30"/>
      <c r="N45" s="30"/>
      <c r="O45" s="25"/>
      <c r="P45" s="25"/>
      <c r="Q45" s="22"/>
      <c r="R45" s="22"/>
      <c r="S45" s="22"/>
      <c r="T45" s="26">
        <v>0</v>
      </c>
      <c r="U45" s="26">
        <v>10</v>
      </c>
      <c r="V45" s="26">
        <v>10</v>
      </c>
      <c r="W45" s="26">
        <v>10</v>
      </c>
      <c r="X45" s="26">
        <v>20</v>
      </c>
      <c r="Y45" s="26">
        <v>0</v>
      </c>
      <c r="Z45" s="26">
        <v>0</v>
      </c>
      <c r="AA45" s="26">
        <v>0</v>
      </c>
      <c r="AB45" s="26">
        <v>0</v>
      </c>
      <c r="AC45" s="26">
        <v>0</v>
      </c>
    </row>
    <row r="46" spans="1:29">
      <c r="A46" s="11">
        <v>238</v>
      </c>
      <c r="B46" s="115" t="str">
        <f>'ST-I'!B46</f>
        <v>SCT15CS038</v>
      </c>
      <c r="C46" s="121" t="str">
        <f>'ST-I'!C46</f>
        <v>MAANASY P V</v>
      </c>
      <c r="D46" s="6"/>
      <c r="E46" s="124">
        <v>10</v>
      </c>
      <c r="F46" s="124">
        <v>10</v>
      </c>
      <c r="G46" s="124">
        <v>10</v>
      </c>
      <c r="H46" s="124">
        <v>10</v>
      </c>
      <c r="I46" s="124">
        <v>10</v>
      </c>
      <c r="J46" s="124"/>
      <c r="K46" s="25"/>
      <c r="L46" s="25"/>
      <c r="M46" s="30"/>
      <c r="N46" s="30"/>
      <c r="O46" s="25"/>
      <c r="P46" s="25"/>
      <c r="Q46" s="22"/>
      <c r="R46" s="22"/>
      <c r="S46" s="22"/>
      <c r="T46" s="26">
        <v>0</v>
      </c>
      <c r="U46" s="26">
        <v>10</v>
      </c>
      <c r="V46" s="26">
        <v>10</v>
      </c>
      <c r="W46" s="26">
        <v>10</v>
      </c>
      <c r="X46" s="26">
        <v>20</v>
      </c>
      <c r="Y46" s="26">
        <v>0</v>
      </c>
      <c r="Z46" s="26">
        <v>0</v>
      </c>
      <c r="AA46" s="26">
        <v>0</v>
      </c>
      <c r="AB46" s="26">
        <v>0</v>
      </c>
      <c r="AC46" s="26">
        <v>0</v>
      </c>
    </row>
    <row r="47" spans="1:29">
      <c r="A47" s="11">
        <v>239</v>
      </c>
      <c r="B47" s="115" t="str">
        <f>'ST-I'!B47</f>
        <v>SCT15CS039</v>
      </c>
      <c r="C47" s="121" t="str">
        <f>'ST-I'!C47</f>
        <v>MIDHUNA VIJAYAKUMAR</v>
      </c>
      <c r="D47" s="6"/>
      <c r="E47" s="124">
        <v>10</v>
      </c>
      <c r="F47" s="124">
        <v>10</v>
      </c>
      <c r="G47" s="124">
        <v>10</v>
      </c>
      <c r="H47" s="124">
        <v>10</v>
      </c>
      <c r="I47" s="124">
        <v>10</v>
      </c>
      <c r="J47" s="124"/>
      <c r="K47" s="25"/>
      <c r="L47" s="25"/>
      <c r="M47" s="30"/>
      <c r="N47" s="30"/>
      <c r="O47" s="25"/>
      <c r="P47" s="25"/>
      <c r="Q47" s="22"/>
      <c r="R47" s="22"/>
      <c r="S47" s="22"/>
      <c r="T47" s="26">
        <v>0</v>
      </c>
      <c r="U47" s="26">
        <v>10</v>
      </c>
      <c r="V47" s="26">
        <v>10</v>
      </c>
      <c r="W47" s="26">
        <v>10</v>
      </c>
      <c r="X47" s="26">
        <v>20</v>
      </c>
      <c r="Y47" s="26">
        <v>0</v>
      </c>
      <c r="Z47" s="26">
        <v>0</v>
      </c>
      <c r="AA47" s="26">
        <v>0</v>
      </c>
      <c r="AB47" s="26">
        <v>0</v>
      </c>
      <c r="AC47" s="26">
        <v>0</v>
      </c>
    </row>
    <row r="48" spans="1:29">
      <c r="A48" s="11">
        <v>240</v>
      </c>
      <c r="B48" s="115" t="str">
        <f>'ST-I'!B48</f>
        <v>SCT15CS040</v>
      </c>
      <c r="C48" s="121" t="str">
        <f>'ST-I'!C48</f>
        <v>MUHAMMAD T S</v>
      </c>
      <c r="D48" s="6"/>
      <c r="E48" s="124">
        <v>10</v>
      </c>
      <c r="F48" s="124">
        <v>10</v>
      </c>
      <c r="G48" s="124">
        <v>10</v>
      </c>
      <c r="H48" s="124">
        <v>10</v>
      </c>
      <c r="I48" s="124">
        <v>10</v>
      </c>
      <c r="J48" s="124"/>
      <c r="K48" s="25"/>
      <c r="L48" s="25"/>
      <c r="M48" s="30"/>
      <c r="N48" s="30"/>
      <c r="O48" s="25"/>
      <c r="P48" s="25"/>
      <c r="Q48" s="22"/>
      <c r="R48" s="22"/>
      <c r="S48" s="22"/>
      <c r="T48" s="26">
        <v>0</v>
      </c>
      <c r="U48" s="26">
        <v>10</v>
      </c>
      <c r="V48" s="26">
        <v>10</v>
      </c>
      <c r="W48" s="26">
        <v>10</v>
      </c>
      <c r="X48" s="26">
        <v>20</v>
      </c>
      <c r="Y48" s="26">
        <v>0</v>
      </c>
      <c r="Z48" s="26">
        <v>0</v>
      </c>
      <c r="AA48" s="26">
        <v>0</v>
      </c>
      <c r="AB48" s="26">
        <v>0</v>
      </c>
      <c r="AC48" s="26">
        <v>0</v>
      </c>
    </row>
    <row r="49" spans="1:29">
      <c r="A49" s="11">
        <v>241</v>
      </c>
      <c r="B49" s="115" t="str">
        <f>'ST-I'!B49</f>
        <v>SCT15CS041</v>
      </c>
      <c r="C49" s="121" t="str">
        <f>'ST-I'!C49</f>
        <v>NEVIN BAIJU</v>
      </c>
      <c r="D49" s="6"/>
      <c r="E49" s="124">
        <v>10</v>
      </c>
      <c r="F49" s="124">
        <v>10</v>
      </c>
      <c r="G49" s="124">
        <v>10</v>
      </c>
      <c r="H49" s="124">
        <v>10</v>
      </c>
      <c r="I49" s="124">
        <v>10</v>
      </c>
      <c r="J49" s="124"/>
      <c r="K49" s="25"/>
      <c r="L49" s="25"/>
      <c r="M49" s="30"/>
      <c r="N49" s="30"/>
      <c r="O49" s="25"/>
      <c r="P49" s="25"/>
      <c r="Q49" s="22"/>
      <c r="R49" s="22"/>
      <c r="S49" s="22"/>
      <c r="T49" s="26">
        <v>0</v>
      </c>
      <c r="U49" s="26">
        <v>10</v>
      </c>
      <c r="V49" s="26">
        <v>10</v>
      </c>
      <c r="W49" s="26">
        <v>10</v>
      </c>
      <c r="X49" s="26">
        <v>20</v>
      </c>
      <c r="Y49" s="26">
        <v>0</v>
      </c>
      <c r="Z49" s="26">
        <v>0</v>
      </c>
      <c r="AA49" s="26">
        <v>0</v>
      </c>
      <c r="AB49" s="26">
        <v>0</v>
      </c>
      <c r="AC49" s="26">
        <v>0</v>
      </c>
    </row>
    <row r="50" spans="1:29">
      <c r="A50" s="11">
        <v>242</v>
      </c>
      <c r="B50" s="115" t="str">
        <f>'ST-I'!B50</f>
        <v>SCT15CS042</v>
      </c>
      <c r="C50" s="121" t="str">
        <f>'ST-I'!C50</f>
        <v>NIRANJANA MADHAVAN THAMPI</v>
      </c>
      <c r="D50" s="6"/>
      <c r="E50" s="124">
        <v>10</v>
      </c>
      <c r="F50" s="124">
        <v>10</v>
      </c>
      <c r="G50" s="124">
        <v>10</v>
      </c>
      <c r="H50" s="124">
        <v>10</v>
      </c>
      <c r="I50" s="124">
        <v>10</v>
      </c>
      <c r="J50" s="124"/>
      <c r="K50" s="25"/>
      <c r="L50" s="25"/>
      <c r="M50" s="30"/>
      <c r="N50" s="30"/>
      <c r="O50" s="25"/>
      <c r="P50" s="25"/>
      <c r="Q50" s="22"/>
      <c r="R50" s="22"/>
      <c r="S50" s="22"/>
      <c r="T50" s="26">
        <v>0</v>
      </c>
      <c r="U50" s="26">
        <v>10</v>
      </c>
      <c r="V50" s="26">
        <v>10</v>
      </c>
      <c r="W50" s="26">
        <v>10</v>
      </c>
      <c r="X50" s="26">
        <v>20</v>
      </c>
      <c r="Y50" s="26">
        <v>0</v>
      </c>
      <c r="Z50" s="26">
        <v>0</v>
      </c>
      <c r="AA50" s="26">
        <v>0</v>
      </c>
      <c r="AB50" s="26">
        <v>0</v>
      </c>
      <c r="AC50" s="26">
        <v>0</v>
      </c>
    </row>
    <row r="51" spans="1:29">
      <c r="A51" s="11">
        <v>243</v>
      </c>
      <c r="B51" s="115" t="str">
        <f>'ST-I'!B51</f>
        <v>SCT15CS043</v>
      </c>
      <c r="C51" s="121" t="str">
        <f>'ST-I'!C51</f>
        <v>PRASEETHA KRISHNA J</v>
      </c>
      <c r="D51" s="6"/>
      <c r="E51" s="124">
        <v>10</v>
      </c>
      <c r="F51" s="124">
        <v>10</v>
      </c>
      <c r="G51" s="124">
        <v>10</v>
      </c>
      <c r="H51" s="124">
        <v>10</v>
      </c>
      <c r="I51" s="124">
        <v>10</v>
      </c>
      <c r="J51" s="124"/>
      <c r="K51" s="25"/>
      <c r="L51" s="25"/>
      <c r="M51" s="30"/>
      <c r="N51" s="30"/>
      <c r="O51" s="25"/>
      <c r="P51" s="25"/>
      <c r="Q51" s="22"/>
      <c r="R51" s="22"/>
      <c r="S51" s="22"/>
      <c r="T51" s="26">
        <v>0</v>
      </c>
      <c r="U51" s="26">
        <v>10</v>
      </c>
      <c r="V51" s="26">
        <v>10</v>
      </c>
      <c r="W51" s="26">
        <v>10</v>
      </c>
      <c r="X51" s="26">
        <v>20</v>
      </c>
      <c r="Y51" s="26">
        <v>0</v>
      </c>
      <c r="Z51" s="26">
        <v>0</v>
      </c>
      <c r="AA51" s="26">
        <v>0</v>
      </c>
      <c r="AB51" s="26">
        <v>0</v>
      </c>
      <c r="AC51" s="26">
        <v>0</v>
      </c>
    </row>
    <row r="52" spans="1:29">
      <c r="A52" s="11">
        <v>244</v>
      </c>
      <c r="B52" s="115" t="str">
        <f>'ST-I'!B52</f>
        <v>SCT15CS044</v>
      </c>
      <c r="C52" s="121" t="str">
        <f>'ST-I'!C52</f>
        <v>PRIYANKA GOVIND C V</v>
      </c>
      <c r="D52" s="6"/>
      <c r="E52" s="124">
        <v>10</v>
      </c>
      <c r="F52" s="124">
        <v>10</v>
      </c>
      <c r="G52" s="124">
        <v>10</v>
      </c>
      <c r="H52" s="124">
        <v>10</v>
      </c>
      <c r="I52" s="124">
        <v>10</v>
      </c>
      <c r="J52" s="124"/>
      <c r="K52" s="25"/>
      <c r="L52" s="25"/>
      <c r="M52" s="30"/>
      <c r="N52" s="30"/>
      <c r="O52" s="25"/>
      <c r="P52" s="25"/>
      <c r="Q52" s="22"/>
      <c r="R52" s="22"/>
      <c r="S52" s="22"/>
      <c r="T52" s="26">
        <v>0</v>
      </c>
      <c r="U52" s="26">
        <v>10</v>
      </c>
      <c r="V52" s="26">
        <v>10</v>
      </c>
      <c r="W52" s="26">
        <v>10</v>
      </c>
      <c r="X52" s="26">
        <v>20</v>
      </c>
      <c r="Y52" s="26">
        <v>0</v>
      </c>
      <c r="Z52" s="26">
        <v>0</v>
      </c>
      <c r="AA52" s="26">
        <v>0</v>
      </c>
      <c r="AB52" s="26">
        <v>0</v>
      </c>
      <c r="AC52" s="26">
        <v>0</v>
      </c>
    </row>
    <row r="53" spans="1:29">
      <c r="A53" s="11">
        <v>245</v>
      </c>
      <c r="B53" s="115" t="str">
        <f>'ST-I'!B53</f>
        <v>SCT15CS045</v>
      </c>
      <c r="C53" s="121" t="str">
        <f>'ST-I'!C53</f>
        <v>R SREELAKSHMI</v>
      </c>
      <c r="D53" s="6"/>
      <c r="E53" s="124">
        <v>10</v>
      </c>
      <c r="F53" s="124">
        <v>10</v>
      </c>
      <c r="G53" s="124">
        <v>2</v>
      </c>
      <c r="H53" s="124">
        <v>7</v>
      </c>
      <c r="I53" s="124">
        <v>6</v>
      </c>
      <c r="J53" s="124"/>
      <c r="K53" s="25"/>
      <c r="L53" s="25"/>
      <c r="M53" s="30"/>
      <c r="N53" s="30"/>
      <c r="O53" s="25"/>
      <c r="P53" s="25"/>
      <c r="Q53" s="22"/>
      <c r="R53" s="22"/>
      <c r="S53" s="22"/>
      <c r="T53" s="26">
        <v>0</v>
      </c>
      <c r="U53" s="26">
        <v>10</v>
      </c>
      <c r="V53" s="26">
        <v>10</v>
      </c>
      <c r="W53" s="26">
        <v>2</v>
      </c>
      <c r="X53" s="26">
        <v>13</v>
      </c>
      <c r="Y53" s="26">
        <v>0</v>
      </c>
      <c r="Z53" s="26">
        <v>0</v>
      </c>
      <c r="AA53" s="26">
        <v>0</v>
      </c>
      <c r="AB53" s="26">
        <v>0</v>
      </c>
      <c r="AC53" s="26">
        <v>0</v>
      </c>
    </row>
    <row r="54" spans="1:29">
      <c r="A54" s="11">
        <v>246</v>
      </c>
      <c r="B54" s="115" t="str">
        <f>'ST-I'!B54</f>
        <v>SCT15CS046</v>
      </c>
      <c r="C54" s="121" t="str">
        <f>'ST-I'!C54</f>
        <v>RAFIYA RAJESH S R</v>
      </c>
      <c r="D54" s="6"/>
      <c r="E54" s="124">
        <v>0</v>
      </c>
      <c r="F54" s="124">
        <v>0</v>
      </c>
      <c r="G54" s="124">
        <v>0</v>
      </c>
      <c r="H54" s="124">
        <v>0</v>
      </c>
      <c r="I54" s="124">
        <v>0</v>
      </c>
      <c r="J54" s="124"/>
      <c r="K54" s="25"/>
      <c r="L54" s="25"/>
      <c r="M54" s="30"/>
      <c r="N54" s="30"/>
      <c r="O54" s="25"/>
      <c r="P54" s="25"/>
      <c r="Q54" s="22"/>
      <c r="R54" s="22"/>
      <c r="S54" s="22"/>
      <c r="T54" s="26">
        <v>0</v>
      </c>
      <c r="U54" s="26">
        <v>0</v>
      </c>
      <c r="V54" s="26">
        <v>0</v>
      </c>
      <c r="W54" s="26">
        <v>0</v>
      </c>
      <c r="X54" s="26">
        <v>0</v>
      </c>
      <c r="Y54" s="26">
        <v>0</v>
      </c>
      <c r="Z54" s="26">
        <v>0</v>
      </c>
      <c r="AA54" s="26">
        <v>0</v>
      </c>
      <c r="AB54" s="26">
        <v>0</v>
      </c>
      <c r="AC54" s="26">
        <v>0</v>
      </c>
    </row>
    <row r="55" spans="1:29">
      <c r="A55" s="11">
        <v>247</v>
      </c>
      <c r="B55" s="115" t="str">
        <f>'ST-I'!B55</f>
        <v>SCT15CS047</v>
      </c>
      <c r="C55" s="121" t="str">
        <f>'ST-I'!C55</f>
        <v>RAHUL S</v>
      </c>
      <c r="D55" s="6"/>
      <c r="E55" s="124"/>
      <c r="F55" s="124"/>
      <c r="G55" s="124"/>
      <c r="H55" s="124"/>
      <c r="I55" s="124"/>
      <c r="J55" s="124"/>
      <c r="K55" s="25"/>
      <c r="L55" s="25"/>
      <c r="M55" s="30"/>
      <c r="N55" s="30"/>
      <c r="O55" s="25"/>
      <c r="P55" s="25"/>
      <c r="Q55" s="22"/>
      <c r="R55" s="22"/>
      <c r="S55" s="22"/>
      <c r="T55" s="26">
        <v>0</v>
      </c>
      <c r="U55" s="26">
        <v>0</v>
      </c>
      <c r="V55" s="26">
        <v>0</v>
      </c>
      <c r="W55" s="26">
        <v>0</v>
      </c>
      <c r="X55" s="26">
        <v>0</v>
      </c>
      <c r="Y55" s="26">
        <v>0</v>
      </c>
      <c r="Z55" s="26">
        <v>0</v>
      </c>
      <c r="AA55" s="26">
        <v>0</v>
      </c>
      <c r="AB55" s="26">
        <v>0</v>
      </c>
      <c r="AC55" s="26">
        <v>0</v>
      </c>
    </row>
    <row r="56" spans="1:29">
      <c r="A56" s="11">
        <v>248</v>
      </c>
      <c r="B56" s="115" t="str">
        <f>'ST-I'!B56</f>
        <v>SCT15CS048</v>
      </c>
      <c r="C56" s="121" t="str">
        <f>'ST-I'!C56</f>
        <v>RAKESH P</v>
      </c>
      <c r="D56" s="6"/>
      <c r="E56" s="124">
        <v>10</v>
      </c>
      <c r="F56" s="124">
        <v>10</v>
      </c>
      <c r="G56" s="124">
        <v>2</v>
      </c>
      <c r="H56" s="124">
        <v>7</v>
      </c>
      <c r="I56" s="124">
        <v>6</v>
      </c>
      <c r="J56" s="124"/>
      <c r="K56" s="25"/>
      <c r="L56" s="25"/>
      <c r="M56" s="30"/>
      <c r="N56" s="30"/>
      <c r="O56" s="25"/>
      <c r="P56" s="25"/>
      <c r="Q56" s="22"/>
      <c r="R56" s="22"/>
      <c r="S56" s="22"/>
      <c r="T56" s="26">
        <v>0</v>
      </c>
      <c r="U56" s="26">
        <v>10</v>
      </c>
      <c r="V56" s="26">
        <v>10</v>
      </c>
      <c r="W56" s="26">
        <v>2</v>
      </c>
      <c r="X56" s="26">
        <v>13</v>
      </c>
      <c r="Y56" s="26">
        <v>0</v>
      </c>
      <c r="Z56" s="26">
        <v>0</v>
      </c>
      <c r="AA56" s="26">
        <v>0</v>
      </c>
      <c r="AB56" s="26">
        <v>0</v>
      </c>
      <c r="AC56" s="26">
        <v>0</v>
      </c>
    </row>
    <row r="57" spans="1:29">
      <c r="A57" s="11">
        <v>249</v>
      </c>
      <c r="B57" s="115" t="str">
        <f>'ST-I'!B57</f>
        <v>SCT15CS049</v>
      </c>
      <c r="C57" s="121" t="str">
        <f>'ST-I'!C57</f>
        <v>S SACHIN</v>
      </c>
      <c r="D57" s="6"/>
      <c r="E57" s="124">
        <v>10</v>
      </c>
      <c r="F57" s="124">
        <v>8</v>
      </c>
      <c r="G57" s="124">
        <v>2</v>
      </c>
      <c r="H57" s="124">
        <v>4</v>
      </c>
      <c r="I57" s="124">
        <v>6</v>
      </c>
      <c r="J57" s="124"/>
      <c r="K57" s="25"/>
      <c r="L57" s="25"/>
      <c r="M57" s="30"/>
      <c r="N57" s="30"/>
      <c r="O57" s="25"/>
      <c r="P57" s="25"/>
      <c r="Q57" s="22"/>
      <c r="R57" s="22"/>
      <c r="S57" s="22"/>
      <c r="T57" s="26">
        <v>0</v>
      </c>
      <c r="U57" s="26">
        <v>10</v>
      </c>
      <c r="V57" s="26">
        <v>8</v>
      </c>
      <c r="W57" s="26">
        <v>2</v>
      </c>
      <c r="X57" s="26">
        <v>10</v>
      </c>
      <c r="Y57" s="26">
        <v>0</v>
      </c>
      <c r="Z57" s="26">
        <v>0</v>
      </c>
      <c r="AA57" s="26">
        <v>0</v>
      </c>
      <c r="AB57" s="26">
        <v>0</v>
      </c>
      <c r="AC57" s="26">
        <v>0</v>
      </c>
    </row>
    <row r="58" spans="1:29">
      <c r="A58" s="11">
        <v>250</v>
      </c>
      <c r="B58" s="115" t="str">
        <f>'ST-I'!B58</f>
        <v>SCT15CS050</v>
      </c>
      <c r="C58" s="121" t="str">
        <f>'ST-I'!C58</f>
        <v>S VIJAY VENKATESH</v>
      </c>
      <c r="D58" s="6"/>
      <c r="E58" s="124">
        <v>10</v>
      </c>
      <c r="F58" s="124">
        <v>8</v>
      </c>
      <c r="G58" s="124">
        <v>2</v>
      </c>
      <c r="H58" s="124">
        <v>4</v>
      </c>
      <c r="I58" s="124">
        <v>6</v>
      </c>
      <c r="J58" s="124"/>
      <c r="K58" s="25"/>
      <c r="L58" s="25"/>
      <c r="M58" s="30"/>
      <c r="N58" s="30"/>
      <c r="O58" s="25"/>
      <c r="P58" s="25"/>
      <c r="Q58" s="22"/>
      <c r="R58" s="22"/>
      <c r="S58" s="22"/>
      <c r="T58" s="26">
        <v>0</v>
      </c>
      <c r="U58" s="26">
        <v>10</v>
      </c>
      <c r="V58" s="26">
        <v>8</v>
      </c>
      <c r="W58" s="26">
        <v>2</v>
      </c>
      <c r="X58" s="26">
        <v>10</v>
      </c>
      <c r="Y58" s="26">
        <v>0</v>
      </c>
      <c r="Z58" s="26">
        <v>0</v>
      </c>
      <c r="AA58" s="26">
        <v>0</v>
      </c>
      <c r="AB58" s="26">
        <v>0</v>
      </c>
      <c r="AC58" s="26">
        <v>0</v>
      </c>
    </row>
    <row r="59" spans="1:29">
      <c r="A59" s="11">
        <v>251</v>
      </c>
      <c r="B59" s="115" t="str">
        <f>'ST-I'!B59</f>
        <v>SCT15CS051</v>
      </c>
      <c r="C59" s="121" t="str">
        <f>'ST-I'!C59</f>
        <v>SAGAR ASHOK</v>
      </c>
      <c r="D59" s="6"/>
      <c r="E59" s="124">
        <v>10</v>
      </c>
      <c r="F59" s="124">
        <v>8</v>
      </c>
      <c r="G59" s="124">
        <v>2</v>
      </c>
      <c r="H59" s="124">
        <v>4</v>
      </c>
      <c r="I59" s="124">
        <v>6</v>
      </c>
      <c r="J59" s="124"/>
      <c r="K59" s="25"/>
      <c r="L59" s="25"/>
      <c r="M59" s="30"/>
      <c r="N59" s="30"/>
      <c r="O59" s="25"/>
      <c r="P59" s="25"/>
      <c r="Q59" s="22"/>
      <c r="R59" s="22"/>
      <c r="S59" s="22"/>
      <c r="T59" s="26">
        <v>0</v>
      </c>
      <c r="U59" s="26">
        <v>10</v>
      </c>
      <c r="V59" s="26">
        <v>8</v>
      </c>
      <c r="W59" s="26">
        <v>2</v>
      </c>
      <c r="X59" s="26">
        <v>10</v>
      </c>
      <c r="Y59" s="26">
        <v>0</v>
      </c>
      <c r="Z59" s="26">
        <v>0</v>
      </c>
      <c r="AA59" s="26">
        <v>0</v>
      </c>
      <c r="AB59" s="26">
        <v>0</v>
      </c>
      <c r="AC59" s="26">
        <v>0</v>
      </c>
    </row>
    <row r="60" spans="1:29">
      <c r="A60" s="11">
        <v>252</v>
      </c>
      <c r="B60" s="115" t="str">
        <f>'ST-I'!B60</f>
        <v>SCT15CS052</v>
      </c>
      <c r="C60" s="121" t="str">
        <f>'ST-I'!C60</f>
        <v>SHEHAZ SHEFY</v>
      </c>
      <c r="D60" s="6"/>
      <c r="E60" s="124">
        <v>10</v>
      </c>
      <c r="F60" s="124">
        <v>8</v>
      </c>
      <c r="G60" s="124">
        <v>2</v>
      </c>
      <c r="H60" s="124">
        <v>4</v>
      </c>
      <c r="I60" s="124">
        <v>6</v>
      </c>
      <c r="J60" s="124"/>
      <c r="K60" s="25"/>
      <c r="L60" s="25"/>
      <c r="M60" s="30"/>
      <c r="N60" s="30"/>
      <c r="O60" s="30"/>
      <c r="P60" s="30"/>
      <c r="Q60" s="22"/>
      <c r="R60" s="22"/>
      <c r="S60" s="22"/>
      <c r="T60" s="26">
        <v>0</v>
      </c>
      <c r="U60" s="26">
        <v>10</v>
      </c>
      <c r="V60" s="26">
        <v>8</v>
      </c>
      <c r="W60" s="26">
        <v>2</v>
      </c>
      <c r="X60" s="26">
        <v>10</v>
      </c>
      <c r="Y60" s="26">
        <v>0</v>
      </c>
      <c r="Z60" s="26">
        <v>0</v>
      </c>
      <c r="AA60" s="26">
        <v>0</v>
      </c>
      <c r="AB60" s="26">
        <v>0</v>
      </c>
      <c r="AC60" s="26">
        <v>0</v>
      </c>
    </row>
    <row r="61" spans="1:29">
      <c r="A61" s="11">
        <v>253</v>
      </c>
      <c r="B61" s="115" t="str">
        <f>'ST-I'!B61</f>
        <v>SCT15CS053</v>
      </c>
      <c r="C61" s="121" t="str">
        <f>'ST-I'!C61</f>
        <v>SHIBIN B SHAJI</v>
      </c>
      <c r="D61" s="6"/>
      <c r="E61" s="124">
        <v>6</v>
      </c>
      <c r="F61" s="124">
        <v>6</v>
      </c>
      <c r="G61" s="124">
        <v>3</v>
      </c>
      <c r="H61" s="124">
        <v>5</v>
      </c>
      <c r="I61" s="124">
        <v>5</v>
      </c>
      <c r="J61" s="124"/>
      <c r="K61" s="25"/>
      <c r="L61" s="25"/>
      <c r="M61" s="30"/>
      <c r="N61" s="30"/>
      <c r="O61" s="25"/>
      <c r="P61" s="25"/>
      <c r="Q61" s="22"/>
      <c r="R61" s="22"/>
      <c r="S61" s="22"/>
      <c r="T61" s="26">
        <v>0</v>
      </c>
      <c r="U61" s="26">
        <v>6</v>
      </c>
      <c r="V61" s="26">
        <v>6</v>
      </c>
      <c r="W61" s="26">
        <v>3</v>
      </c>
      <c r="X61" s="26">
        <v>10</v>
      </c>
      <c r="Y61" s="26">
        <v>0</v>
      </c>
      <c r="Z61" s="26">
        <v>0</v>
      </c>
      <c r="AA61" s="26">
        <v>0</v>
      </c>
      <c r="AB61" s="26">
        <v>0</v>
      </c>
      <c r="AC61" s="26">
        <v>0</v>
      </c>
    </row>
    <row r="62" spans="1:29">
      <c r="A62" s="11">
        <v>254</v>
      </c>
      <c r="B62" s="115" t="str">
        <f>'ST-I'!B62</f>
        <v>SCT15CS054</v>
      </c>
      <c r="C62" s="121" t="str">
        <f>'ST-I'!C62</f>
        <v>SHRADHA MARIAM SANTHOSH</v>
      </c>
      <c r="D62" s="6"/>
      <c r="E62" s="124">
        <v>6</v>
      </c>
      <c r="F62" s="124">
        <v>6</v>
      </c>
      <c r="G62" s="124">
        <v>3</v>
      </c>
      <c r="H62" s="124">
        <v>5</v>
      </c>
      <c r="I62" s="124">
        <v>5</v>
      </c>
      <c r="J62" s="124"/>
      <c r="K62" s="25"/>
      <c r="L62" s="25"/>
      <c r="M62" s="30"/>
      <c r="N62" s="30"/>
      <c r="O62" s="25"/>
      <c r="P62" s="25"/>
      <c r="Q62" s="22"/>
      <c r="R62" s="22"/>
      <c r="S62" s="22"/>
      <c r="T62" s="26">
        <v>0</v>
      </c>
      <c r="U62" s="26">
        <v>6</v>
      </c>
      <c r="V62" s="26">
        <v>6</v>
      </c>
      <c r="W62" s="26">
        <v>3</v>
      </c>
      <c r="X62" s="26">
        <v>10</v>
      </c>
      <c r="Y62" s="26">
        <v>0</v>
      </c>
      <c r="Z62" s="26">
        <v>0</v>
      </c>
      <c r="AA62" s="26">
        <v>0</v>
      </c>
      <c r="AB62" s="26">
        <v>0</v>
      </c>
      <c r="AC62" s="26">
        <v>0</v>
      </c>
    </row>
    <row r="63" spans="1:29">
      <c r="A63" s="11">
        <v>255</v>
      </c>
      <c r="B63" s="115" t="str">
        <f>'ST-I'!B63</f>
        <v>SCT15CS055</v>
      </c>
      <c r="C63" s="121" t="str">
        <f>'ST-I'!C63</f>
        <v>SIBI KOSHY</v>
      </c>
      <c r="D63" s="6"/>
      <c r="E63" s="124">
        <v>6</v>
      </c>
      <c r="F63" s="124">
        <v>6</v>
      </c>
      <c r="G63" s="124">
        <v>3</v>
      </c>
      <c r="H63" s="124">
        <v>5</v>
      </c>
      <c r="I63" s="124">
        <v>5</v>
      </c>
      <c r="J63" s="124"/>
      <c r="K63" s="25"/>
      <c r="L63" s="25"/>
      <c r="M63" s="30"/>
      <c r="N63" s="30"/>
      <c r="O63" s="25"/>
      <c r="P63" s="25"/>
      <c r="Q63" s="22"/>
      <c r="R63" s="22"/>
      <c r="S63" s="22"/>
      <c r="T63" s="26">
        <v>0</v>
      </c>
      <c r="U63" s="26">
        <v>6</v>
      </c>
      <c r="V63" s="26">
        <v>6</v>
      </c>
      <c r="W63" s="26">
        <v>3</v>
      </c>
      <c r="X63" s="26">
        <v>10</v>
      </c>
      <c r="Y63" s="26">
        <v>0</v>
      </c>
      <c r="Z63" s="26">
        <v>0</v>
      </c>
      <c r="AA63" s="26">
        <v>0</v>
      </c>
      <c r="AB63" s="26">
        <v>0</v>
      </c>
      <c r="AC63" s="26">
        <v>0</v>
      </c>
    </row>
    <row r="64" spans="1:29">
      <c r="A64" s="11">
        <v>256</v>
      </c>
      <c r="B64" s="115" t="str">
        <f>'ST-I'!B64</f>
        <v>SCT15CS056</v>
      </c>
      <c r="C64" s="121" t="str">
        <f>'ST-I'!C64</f>
        <v>SIVAKRISHNAN S K</v>
      </c>
      <c r="D64" s="6"/>
      <c r="E64" s="124">
        <v>6</v>
      </c>
      <c r="F64" s="124">
        <v>6</v>
      </c>
      <c r="G64" s="124">
        <v>3</v>
      </c>
      <c r="H64" s="124">
        <v>5</v>
      </c>
      <c r="I64" s="124">
        <v>5</v>
      </c>
      <c r="J64" s="124"/>
      <c r="K64" s="25"/>
      <c r="L64" s="25"/>
      <c r="M64" s="30"/>
      <c r="N64" s="30"/>
      <c r="O64" s="30"/>
      <c r="P64" s="30"/>
      <c r="Q64" s="22"/>
      <c r="R64" s="22"/>
      <c r="S64" s="22"/>
      <c r="T64" s="26">
        <v>0</v>
      </c>
      <c r="U64" s="26">
        <v>6</v>
      </c>
      <c r="V64" s="26">
        <v>6</v>
      </c>
      <c r="W64" s="26">
        <v>3</v>
      </c>
      <c r="X64" s="26">
        <v>10</v>
      </c>
      <c r="Y64" s="26">
        <v>0</v>
      </c>
      <c r="Z64" s="26">
        <v>0</v>
      </c>
      <c r="AA64" s="26">
        <v>0</v>
      </c>
      <c r="AB64" s="26">
        <v>0</v>
      </c>
      <c r="AC64" s="26">
        <v>0</v>
      </c>
    </row>
    <row r="65" spans="1:29">
      <c r="A65" s="11">
        <v>257</v>
      </c>
      <c r="B65" s="115" t="str">
        <f>'ST-I'!B65</f>
        <v>SCT15CS057</v>
      </c>
      <c r="C65" s="121" t="str">
        <f>'ST-I'!C65</f>
        <v>SREEDEV S B</v>
      </c>
      <c r="D65" s="6"/>
      <c r="E65" s="124">
        <v>5</v>
      </c>
      <c r="F65" s="124">
        <v>5</v>
      </c>
      <c r="G65" s="124">
        <v>2</v>
      </c>
      <c r="H65" s="124">
        <v>4</v>
      </c>
      <c r="I65" s="124">
        <v>4</v>
      </c>
      <c r="J65" s="124"/>
      <c r="K65" s="25"/>
      <c r="L65" s="25"/>
      <c r="M65" s="30"/>
      <c r="N65" s="30"/>
      <c r="O65" s="25"/>
      <c r="P65" s="25"/>
      <c r="Q65" s="22"/>
      <c r="R65" s="22"/>
      <c r="S65" s="22"/>
      <c r="T65" s="26">
        <v>0</v>
      </c>
      <c r="U65" s="26">
        <v>5</v>
      </c>
      <c r="V65" s="26">
        <v>5</v>
      </c>
      <c r="W65" s="26">
        <v>2</v>
      </c>
      <c r="X65" s="26">
        <v>8</v>
      </c>
      <c r="Y65" s="26">
        <v>0</v>
      </c>
      <c r="Z65" s="26">
        <v>0</v>
      </c>
      <c r="AA65" s="26">
        <v>0</v>
      </c>
      <c r="AB65" s="26">
        <v>0</v>
      </c>
      <c r="AC65" s="26">
        <v>0</v>
      </c>
    </row>
    <row r="66" spans="1:29">
      <c r="A66" s="11">
        <v>258</v>
      </c>
      <c r="B66" s="115" t="str">
        <f>'ST-I'!B66</f>
        <v>SCT15CS058</v>
      </c>
      <c r="C66" s="121">
        <f>'ST-I'!C66</f>
        <v>0</v>
      </c>
      <c r="D66" s="6"/>
      <c r="E66" s="124"/>
      <c r="F66" s="124"/>
      <c r="G66" s="124"/>
      <c r="H66" s="124"/>
      <c r="I66" s="124"/>
      <c r="J66" s="124"/>
      <c r="K66" s="25"/>
      <c r="L66" s="25"/>
      <c r="M66" s="30"/>
      <c r="N66" s="30"/>
      <c r="O66" s="30"/>
      <c r="P66" s="30"/>
      <c r="Q66" s="22"/>
      <c r="R66" s="22"/>
      <c r="S66" s="22"/>
      <c r="T66" s="26">
        <v>0</v>
      </c>
      <c r="U66" s="26">
        <v>0</v>
      </c>
      <c r="V66" s="26">
        <v>0</v>
      </c>
      <c r="W66" s="26">
        <v>0</v>
      </c>
      <c r="X66" s="26">
        <v>0</v>
      </c>
      <c r="Y66" s="26">
        <v>0</v>
      </c>
      <c r="Z66" s="26">
        <v>0</v>
      </c>
      <c r="AA66" s="26">
        <v>0</v>
      </c>
      <c r="AB66" s="26">
        <v>0</v>
      </c>
      <c r="AC66" s="26">
        <v>0</v>
      </c>
    </row>
    <row r="67" spans="1:29">
      <c r="A67" s="11">
        <v>259</v>
      </c>
      <c r="B67" s="115" t="str">
        <f>'ST-I'!B67</f>
        <v>SCT15CS059</v>
      </c>
      <c r="C67" s="121" t="str">
        <f>'ST-I'!C67</f>
        <v>TASNEEM ABDULKADER SHAJILABEEVI</v>
      </c>
      <c r="D67" s="6"/>
      <c r="E67" s="124">
        <v>5</v>
      </c>
      <c r="F67" s="124">
        <v>5</v>
      </c>
      <c r="G67" s="124">
        <v>2</v>
      </c>
      <c r="H67" s="124">
        <v>4</v>
      </c>
      <c r="I67" s="124">
        <v>4</v>
      </c>
      <c r="J67" s="124"/>
      <c r="K67" s="25"/>
      <c r="L67" s="25"/>
      <c r="M67" s="30"/>
      <c r="N67" s="30"/>
      <c r="O67" s="25"/>
      <c r="P67" s="25"/>
      <c r="Q67" s="22"/>
      <c r="R67" s="22"/>
      <c r="S67" s="22"/>
      <c r="T67" s="26">
        <v>0</v>
      </c>
      <c r="U67" s="26">
        <v>5</v>
      </c>
      <c r="V67" s="26">
        <v>5</v>
      </c>
      <c r="W67" s="26">
        <v>2</v>
      </c>
      <c r="X67" s="26">
        <v>8</v>
      </c>
      <c r="Y67" s="26">
        <v>0</v>
      </c>
      <c r="Z67" s="26">
        <v>0</v>
      </c>
      <c r="AA67" s="26">
        <v>0</v>
      </c>
      <c r="AB67" s="26">
        <v>0</v>
      </c>
      <c r="AC67" s="26">
        <v>0</v>
      </c>
    </row>
    <row r="68" spans="1:29">
      <c r="A68" s="11">
        <v>260</v>
      </c>
      <c r="B68" s="115" t="str">
        <f>'ST-I'!B68</f>
        <v>SCT15CS060</v>
      </c>
      <c r="C68" s="121" t="str">
        <f>'ST-I'!C68</f>
        <v>VENI S</v>
      </c>
      <c r="D68" s="6"/>
      <c r="E68" s="124">
        <v>5</v>
      </c>
      <c r="F68" s="124">
        <v>5</v>
      </c>
      <c r="G68" s="124">
        <v>2</v>
      </c>
      <c r="H68" s="124">
        <v>4</v>
      </c>
      <c r="I68" s="124">
        <v>4</v>
      </c>
      <c r="J68" s="124"/>
      <c r="K68" s="25"/>
      <c r="L68" s="25"/>
      <c r="M68" s="30"/>
      <c r="N68" s="30"/>
      <c r="O68" s="25"/>
      <c r="P68" s="25"/>
      <c r="Q68" s="22"/>
      <c r="R68" s="22"/>
      <c r="S68" s="22"/>
      <c r="T68" s="26">
        <v>0</v>
      </c>
      <c r="U68" s="26">
        <v>5</v>
      </c>
      <c r="V68" s="26">
        <v>5</v>
      </c>
      <c r="W68" s="26">
        <v>2</v>
      </c>
      <c r="X68" s="26">
        <v>8</v>
      </c>
      <c r="Y68" s="26">
        <v>0</v>
      </c>
      <c r="Z68" s="26">
        <v>0</v>
      </c>
      <c r="AA68" s="26">
        <v>0</v>
      </c>
      <c r="AB68" s="26">
        <v>0</v>
      </c>
      <c r="AC68" s="26">
        <v>0</v>
      </c>
    </row>
    <row r="69" spans="1:29">
      <c r="A69" s="11">
        <v>261</v>
      </c>
      <c r="B69" s="115" t="str">
        <f>'ST-I'!B69</f>
        <v>SCT15CS061</v>
      </c>
      <c r="C69" s="121" t="str">
        <f>'ST-I'!C69</f>
        <v>VISAKH V NAIR</v>
      </c>
      <c r="D69" s="6"/>
      <c r="E69" s="124">
        <v>5</v>
      </c>
      <c r="F69" s="124">
        <v>5</v>
      </c>
      <c r="G69" s="124">
        <v>2</v>
      </c>
      <c r="H69" s="124">
        <v>4</v>
      </c>
      <c r="I69" s="124">
        <v>4</v>
      </c>
      <c r="J69" s="124"/>
      <c r="K69" s="25"/>
      <c r="L69" s="25"/>
      <c r="M69" s="30"/>
      <c r="N69" s="30"/>
      <c r="O69" s="25"/>
      <c r="P69" s="25"/>
      <c r="Q69" s="22"/>
      <c r="R69" s="22"/>
      <c r="S69" s="22"/>
      <c r="T69" s="26">
        <v>0</v>
      </c>
      <c r="U69" s="26">
        <v>5</v>
      </c>
      <c r="V69" s="26">
        <v>5</v>
      </c>
      <c r="W69" s="26">
        <v>2</v>
      </c>
      <c r="X69" s="26">
        <v>8</v>
      </c>
      <c r="Y69" s="26">
        <v>0</v>
      </c>
      <c r="Z69" s="26">
        <v>0</v>
      </c>
      <c r="AA69" s="26">
        <v>0</v>
      </c>
      <c r="AB69" s="26">
        <v>0</v>
      </c>
      <c r="AC69" s="26">
        <v>0</v>
      </c>
    </row>
    <row r="70" spans="1:29">
      <c r="A70" s="11">
        <v>262</v>
      </c>
      <c r="B70" s="115" t="str">
        <f>'ST-I'!B70</f>
        <v>SCT15CS062</v>
      </c>
      <c r="C70" s="121" t="str">
        <f>'ST-I'!C70</f>
        <v>VISHNU A K</v>
      </c>
      <c r="D70" s="6"/>
      <c r="E70" s="124">
        <v>6</v>
      </c>
      <c r="F70" s="124">
        <v>6</v>
      </c>
      <c r="G70" s="124">
        <v>3</v>
      </c>
      <c r="H70" s="124">
        <v>5</v>
      </c>
      <c r="I70" s="124">
        <v>5</v>
      </c>
      <c r="J70" s="124"/>
      <c r="K70" s="25"/>
      <c r="L70" s="25"/>
      <c r="M70" s="30"/>
      <c r="N70" s="30"/>
      <c r="O70" s="25"/>
      <c r="P70" s="25"/>
      <c r="Q70" s="22"/>
      <c r="R70" s="22"/>
      <c r="S70" s="22"/>
      <c r="T70" s="26">
        <v>0</v>
      </c>
      <c r="U70" s="26">
        <v>6</v>
      </c>
      <c r="V70" s="26">
        <v>6</v>
      </c>
      <c r="W70" s="26">
        <v>3</v>
      </c>
      <c r="X70" s="26">
        <v>10</v>
      </c>
      <c r="Y70" s="26">
        <v>0</v>
      </c>
      <c r="Z70" s="26">
        <v>0</v>
      </c>
      <c r="AA70" s="26">
        <v>0</v>
      </c>
      <c r="AB70" s="26">
        <v>0</v>
      </c>
      <c r="AC70" s="26">
        <v>0</v>
      </c>
    </row>
    <row r="71" spans="1:29">
      <c r="A71" s="11">
        <v>263</v>
      </c>
      <c r="B71" s="115" t="str">
        <f>'ST-I'!B71</f>
        <v>SCT15CS063</v>
      </c>
      <c r="C71" s="121" t="str">
        <f>'ST-I'!C71</f>
        <v>VYSHNAVI S</v>
      </c>
      <c r="D71" s="6"/>
      <c r="E71" s="124">
        <v>6</v>
      </c>
      <c r="F71" s="124">
        <v>6</v>
      </c>
      <c r="G71" s="124">
        <v>3</v>
      </c>
      <c r="H71" s="124">
        <v>5</v>
      </c>
      <c r="I71" s="124">
        <v>5</v>
      </c>
      <c r="J71" s="124"/>
      <c r="K71" s="25"/>
      <c r="L71" s="25"/>
      <c r="M71" s="30"/>
      <c r="N71" s="30"/>
      <c r="O71" s="25"/>
      <c r="P71" s="25"/>
      <c r="Q71" s="22"/>
      <c r="R71" s="22"/>
      <c r="S71" s="22"/>
      <c r="T71" s="26">
        <v>0</v>
      </c>
      <c r="U71" s="26">
        <v>6</v>
      </c>
      <c r="V71" s="26">
        <v>6</v>
      </c>
      <c r="W71" s="26">
        <v>3</v>
      </c>
      <c r="X71" s="26">
        <v>10</v>
      </c>
      <c r="Y71" s="26">
        <v>0</v>
      </c>
      <c r="Z71" s="26">
        <v>0</v>
      </c>
      <c r="AA71" s="26">
        <v>0</v>
      </c>
      <c r="AB71" s="26">
        <v>0</v>
      </c>
      <c r="AC71" s="26">
        <v>0</v>
      </c>
    </row>
    <row r="72" spans="1:29">
      <c r="A72" s="11">
        <v>264</v>
      </c>
      <c r="B72" s="115" t="str">
        <f>'ST-I'!B72</f>
        <v>SCT15CS064</v>
      </c>
      <c r="C72" s="121" t="str">
        <f>'ST-I'!C72</f>
        <v>ABU THAHIR KM</v>
      </c>
      <c r="D72" s="30"/>
      <c r="E72" s="124"/>
      <c r="F72" s="124"/>
      <c r="G72" s="124"/>
      <c r="H72" s="124"/>
      <c r="I72" s="124"/>
      <c r="J72" s="124"/>
      <c r="K72" s="25"/>
      <c r="L72" s="25"/>
      <c r="M72" s="30"/>
      <c r="N72" s="30"/>
      <c r="O72" s="25"/>
      <c r="P72" s="25"/>
      <c r="Q72" s="17"/>
      <c r="R72" s="17"/>
      <c r="S72" s="17"/>
      <c r="T72" s="8">
        <v>0</v>
      </c>
      <c r="U72" s="8">
        <v>0</v>
      </c>
      <c r="V72" s="8">
        <v>0</v>
      </c>
      <c r="W72" s="8">
        <v>0</v>
      </c>
      <c r="X72" s="8">
        <v>0</v>
      </c>
      <c r="Y72" s="8">
        <v>0</v>
      </c>
      <c r="Z72" s="8">
        <v>0</v>
      </c>
      <c r="AA72" s="8">
        <v>0</v>
      </c>
      <c r="AB72" s="8">
        <v>0</v>
      </c>
      <c r="AC72" s="8">
        <v>0</v>
      </c>
    </row>
    <row r="73" spans="1:29">
      <c r="A73" s="11">
        <v>265</v>
      </c>
      <c r="B73" s="115" t="str">
        <f>'ST-I'!B73</f>
        <v>SCT15CS065</v>
      </c>
      <c r="C73" s="121" t="str">
        <f>'ST-I'!C73</f>
        <v>ARUN S BABU</v>
      </c>
      <c r="D73" s="30"/>
      <c r="E73" s="124">
        <v>6</v>
      </c>
      <c r="F73" s="124">
        <v>6</v>
      </c>
      <c r="G73" s="124">
        <v>3</v>
      </c>
      <c r="H73" s="124">
        <v>5</v>
      </c>
      <c r="I73" s="124">
        <v>5</v>
      </c>
      <c r="J73" s="124"/>
      <c r="K73" s="25"/>
      <c r="L73" s="25"/>
      <c r="M73" s="30"/>
      <c r="N73" s="30"/>
      <c r="O73" s="30"/>
      <c r="P73" s="30"/>
      <c r="Q73" s="17"/>
      <c r="R73" s="17"/>
      <c r="S73" s="17"/>
      <c r="T73" s="8">
        <v>0</v>
      </c>
      <c r="U73" s="8">
        <v>6</v>
      </c>
      <c r="V73" s="8">
        <v>6</v>
      </c>
      <c r="W73" s="8">
        <v>3</v>
      </c>
      <c r="X73" s="8">
        <v>10</v>
      </c>
      <c r="Y73" s="8">
        <v>0</v>
      </c>
      <c r="Z73" s="8">
        <v>0</v>
      </c>
      <c r="AA73" s="8">
        <v>0</v>
      </c>
      <c r="AB73" s="8">
        <v>0</v>
      </c>
      <c r="AC73" s="8">
        <v>0</v>
      </c>
    </row>
    <row r="74" spans="1:29">
      <c r="A74" s="11">
        <v>266</v>
      </c>
      <c r="B74" s="115" t="str">
        <f>'ST-I'!B74</f>
        <v>SCT15CS066</v>
      </c>
      <c r="C74" s="24" t="str">
        <f>'ST-I'!C74</f>
        <v>SUBINA C K</v>
      </c>
      <c r="D74" s="30"/>
      <c r="E74" s="124">
        <v>6</v>
      </c>
      <c r="F74" s="124">
        <v>6</v>
      </c>
      <c r="G74" s="124">
        <v>3</v>
      </c>
      <c r="H74" s="124">
        <v>5</v>
      </c>
      <c r="I74" s="124">
        <v>5</v>
      </c>
      <c r="J74" s="124"/>
      <c r="K74" s="25"/>
      <c r="L74" s="25"/>
      <c r="M74" s="30"/>
      <c r="N74" s="30"/>
      <c r="O74" s="30"/>
      <c r="P74" s="30"/>
      <c r="Q74" s="17"/>
      <c r="R74" s="17"/>
      <c r="S74" s="17"/>
      <c r="T74" s="8">
        <v>0</v>
      </c>
      <c r="U74" s="8">
        <v>6</v>
      </c>
      <c r="V74" s="8">
        <v>6</v>
      </c>
      <c r="W74" s="8">
        <v>3</v>
      </c>
      <c r="X74" s="8">
        <v>10</v>
      </c>
      <c r="Y74" s="8">
        <v>0</v>
      </c>
      <c r="Z74" s="8">
        <v>0</v>
      </c>
      <c r="AA74" s="8">
        <v>0</v>
      </c>
      <c r="AB74" s="8">
        <v>0</v>
      </c>
      <c r="AC74" s="8">
        <v>0</v>
      </c>
    </row>
    <row r="75" spans="1:29">
      <c r="A75" s="23"/>
      <c r="B75" s="26"/>
      <c r="C75" s="24">
        <f>'ST-I'!C75</f>
        <v>0</v>
      </c>
      <c r="D75" s="30"/>
      <c r="E75" s="124"/>
      <c r="F75" s="124"/>
      <c r="G75" s="124"/>
      <c r="H75" s="124"/>
      <c r="I75" s="124"/>
      <c r="J75" s="124"/>
      <c r="K75" s="41"/>
      <c r="L75" s="41"/>
      <c r="M75" s="30"/>
      <c r="N75" s="30"/>
      <c r="O75" s="30"/>
      <c r="P75" s="30"/>
      <c r="Q75" s="30"/>
      <c r="R75" s="30"/>
      <c r="S75" s="30"/>
      <c r="T75" s="8">
        <v>0</v>
      </c>
      <c r="U75" s="8">
        <v>0</v>
      </c>
      <c r="V75" s="8">
        <v>0</v>
      </c>
      <c r="W75" s="8">
        <v>0</v>
      </c>
      <c r="X75" s="8">
        <v>0</v>
      </c>
      <c r="Y75" s="8">
        <v>0</v>
      </c>
      <c r="Z75" s="8">
        <v>0</v>
      </c>
      <c r="AA75" s="8">
        <v>0</v>
      </c>
      <c r="AB75" s="8">
        <v>0</v>
      </c>
      <c r="AC75" s="8">
        <v>0</v>
      </c>
    </row>
    <row r="76" spans="1:29">
      <c r="A76" s="23"/>
      <c r="B76" s="26"/>
      <c r="C76" s="24">
        <f>'ST-I'!C76</f>
        <v>0</v>
      </c>
      <c r="D76" s="30"/>
      <c r="E76" s="124"/>
      <c r="F76" s="124"/>
      <c r="G76" s="124"/>
      <c r="H76" s="124"/>
      <c r="I76" s="124"/>
      <c r="J76" s="124"/>
      <c r="K76" s="41"/>
      <c r="L76" s="41"/>
      <c r="M76" s="30"/>
      <c r="N76" s="30"/>
      <c r="O76" s="30"/>
      <c r="P76" s="30"/>
      <c r="Q76" s="30"/>
      <c r="R76" s="30"/>
      <c r="S76" s="30"/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</row>
    <row r="77" spans="1:29">
      <c r="A77" s="23"/>
      <c r="B77" s="43"/>
      <c r="C77" s="24">
        <f>'ST-I'!C77</f>
        <v>0</v>
      </c>
      <c r="D77" s="30"/>
      <c r="E77" s="124"/>
      <c r="F77" s="124"/>
      <c r="G77" s="124"/>
      <c r="H77" s="124"/>
      <c r="I77" s="124"/>
      <c r="J77" s="124"/>
      <c r="K77" s="41"/>
      <c r="L77" s="41"/>
      <c r="M77" s="30"/>
      <c r="N77" s="30"/>
      <c r="O77" s="30"/>
      <c r="P77" s="30"/>
      <c r="Q77" s="30"/>
      <c r="R77" s="30"/>
      <c r="S77" s="30"/>
      <c r="T77" s="8">
        <v>0</v>
      </c>
      <c r="U77" s="8">
        <v>0</v>
      </c>
      <c r="V77" s="8">
        <v>0</v>
      </c>
      <c r="W77" s="8">
        <v>0</v>
      </c>
      <c r="X77" s="8">
        <v>0</v>
      </c>
      <c r="Y77" s="8">
        <v>0</v>
      </c>
      <c r="Z77" s="8">
        <v>0</v>
      </c>
      <c r="AA77" s="8">
        <v>0</v>
      </c>
      <c r="AB77" s="8">
        <v>0</v>
      </c>
      <c r="AC77" s="8">
        <v>0</v>
      </c>
    </row>
    <row r="78" spans="1:29">
      <c r="A78" s="23"/>
      <c r="B78" s="30"/>
      <c r="C78" s="24">
        <f>'ST-I'!C78</f>
        <v>0</v>
      </c>
      <c r="D78" s="30"/>
      <c r="E78" s="124"/>
      <c r="F78" s="124"/>
      <c r="G78" s="124"/>
      <c r="H78" s="124"/>
      <c r="I78" s="124"/>
      <c r="J78" s="124"/>
      <c r="K78" s="41"/>
      <c r="L78" s="41"/>
      <c r="M78" s="30"/>
      <c r="N78" s="30"/>
      <c r="O78" s="30"/>
      <c r="P78" s="30"/>
      <c r="Q78" s="30"/>
      <c r="R78" s="30"/>
      <c r="S78" s="30"/>
      <c r="T78" s="8">
        <v>0</v>
      </c>
      <c r="U78" s="8">
        <v>0</v>
      </c>
      <c r="V78" s="8">
        <v>0</v>
      </c>
      <c r="W78" s="8">
        <v>0</v>
      </c>
      <c r="X78" s="8">
        <v>0</v>
      </c>
      <c r="Y78" s="8">
        <v>0</v>
      </c>
      <c r="Z78" s="8">
        <v>0</v>
      </c>
      <c r="AA78" s="8">
        <v>0</v>
      </c>
      <c r="AB78" s="8">
        <v>0</v>
      </c>
      <c r="AC78" s="8">
        <v>0</v>
      </c>
    </row>
    <row r="79" spans="1:29">
      <c r="A79" s="23"/>
      <c r="B79" s="30"/>
      <c r="C79" s="24">
        <f>'ST-I'!C79</f>
        <v>0</v>
      </c>
      <c r="D79" s="30"/>
      <c r="E79" s="30"/>
      <c r="F79" s="30"/>
      <c r="G79" s="30"/>
      <c r="H79" s="30"/>
      <c r="I79" s="41"/>
      <c r="J79" s="41"/>
      <c r="K79" s="41"/>
      <c r="L79" s="41"/>
      <c r="M79" s="30"/>
      <c r="N79" s="30"/>
      <c r="O79" s="30"/>
      <c r="P79" s="30"/>
      <c r="Q79" s="30"/>
      <c r="R79" s="30"/>
      <c r="S79" s="30"/>
      <c r="T79" s="8">
        <v>0</v>
      </c>
      <c r="U79" s="8">
        <v>0</v>
      </c>
      <c r="V79" s="8">
        <v>0</v>
      </c>
      <c r="W79" s="8">
        <v>0</v>
      </c>
      <c r="X79" s="8">
        <v>0</v>
      </c>
      <c r="Y79" s="8">
        <v>0</v>
      </c>
      <c r="Z79" s="8">
        <v>0</v>
      </c>
      <c r="AA79" s="8">
        <v>0</v>
      </c>
      <c r="AB79" s="8">
        <v>0</v>
      </c>
      <c r="AC79" s="8">
        <v>0</v>
      </c>
    </row>
    <row r="80" spans="1:29">
      <c r="A80" s="23"/>
      <c r="B80" s="30"/>
      <c r="C80" s="24">
        <f>'ST-I'!C80</f>
        <v>0</v>
      </c>
      <c r="D80" s="30"/>
      <c r="E80" s="30"/>
      <c r="F80" s="30"/>
      <c r="G80" s="30"/>
      <c r="H80" s="30"/>
      <c r="I80" s="41"/>
      <c r="J80" s="41"/>
      <c r="K80" s="41"/>
      <c r="L80" s="41"/>
      <c r="M80" s="30"/>
      <c r="N80" s="30"/>
      <c r="O80" s="30"/>
      <c r="P80" s="30"/>
      <c r="Q80" s="30"/>
      <c r="R80" s="30"/>
      <c r="S80" s="30"/>
      <c r="T80" s="8">
        <v>0</v>
      </c>
      <c r="U80" s="8">
        <v>0</v>
      </c>
      <c r="V80" s="8">
        <v>0</v>
      </c>
      <c r="W80" s="8">
        <v>0</v>
      </c>
      <c r="X80" s="8">
        <v>0</v>
      </c>
      <c r="Y80" s="8">
        <v>0</v>
      </c>
      <c r="Z80" s="8">
        <v>0</v>
      </c>
      <c r="AA80" s="8">
        <v>0</v>
      </c>
      <c r="AB80" s="8">
        <v>0</v>
      </c>
      <c r="AC80" s="8">
        <v>0</v>
      </c>
    </row>
    <row r="81" spans="1:29">
      <c r="A81" s="23"/>
      <c r="B81" s="30"/>
      <c r="C81" s="24">
        <f>'ST-I'!C81</f>
        <v>0</v>
      </c>
      <c r="D81" s="30"/>
      <c r="E81" s="30"/>
      <c r="F81" s="30"/>
      <c r="G81" s="30"/>
      <c r="H81" s="30"/>
      <c r="I81" s="41"/>
      <c r="J81" s="41"/>
      <c r="K81" s="41"/>
      <c r="L81" s="41"/>
      <c r="M81" s="30"/>
      <c r="N81" s="30"/>
      <c r="O81" s="30"/>
      <c r="P81" s="30"/>
      <c r="Q81" s="30"/>
      <c r="R81" s="30"/>
      <c r="S81" s="30"/>
      <c r="T81" s="8">
        <v>0</v>
      </c>
      <c r="U81" s="8">
        <v>0</v>
      </c>
      <c r="V81" s="8">
        <v>0</v>
      </c>
      <c r="W81" s="8">
        <v>0</v>
      </c>
      <c r="X81" s="8">
        <v>0</v>
      </c>
      <c r="Y81" s="8">
        <v>0</v>
      </c>
      <c r="Z81" s="8">
        <v>0</v>
      </c>
      <c r="AA81" s="8">
        <v>0</v>
      </c>
      <c r="AB81" s="8">
        <v>0</v>
      </c>
      <c r="AC81" s="8">
        <v>0</v>
      </c>
    </row>
  </sheetData>
  <mergeCells count="25">
    <mergeCell ref="A1:AC1"/>
    <mergeCell ref="A3:B3"/>
    <mergeCell ref="C3:H3"/>
    <mergeCell ref="T3:AC3"/>
    <mergeCell ref="A5:A8"/>
    <mergeCell ref="B5:B8"/>
    <mergeCell ref="C5:C8"/>
    <mergeCell ref="S7:S8"/>
    <mergeCell ref="T7:AC7"/>
    <mergeCell ref="T5:AC5"/>
    <mergeCell ref="D7:D8"/>
    <mergeCell ref="E7:E8"/>
    <mergeCell ref="F7:F8"/>
    <mergeCell ref="G7:G8"/>
    <mergeCell ref="H7:H8"/>
    <mergeCell ref="I7:I8"/>
    <mergeCell ref="O7:O8"/>
    <mergeCell ref="P7:P8"/>
    <mergeCell ref="Q7:Q8"/>
    <mergeCell ref="R7:R8"/>
    <mergeCell ref="J7:J8"/>
    <mergeCell ref="K7:K8"/>
    <mergeCell ref="L7:L8"/>
    <mergeCell ref="M7:M8"/>
    <mergeCell ref="N7:N8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C81"/>
  <sheetViews>
    <sheetView topLeftCell="A54" workbookViewId="0">
      <selection activeCell="B9" sqref="B9:B74"/>
    </sheetView>
  </sheetViews>
  <sheetFormatPr defaultColWidth="9.140625" defaultRowHeight="15"/>
  <cols>
    <col min="1" max="1" width="5.85546875" style="3" bestFit="1" customWidth="1"/>
    <col min="2" max="2" width="13.85546875" style="3" customWidth="1"/>
    <col min="3" max="3" width="33.42578125" style="4" customWidth="1"/>
    <col min="4" max="4" width="11.140625" style="3" customWidth="1"/>
    <col min="5" max="8" width="6.5703125" style="3" customWidth="1"/>
    <col min="9" max="12" width="6.5703125" style="36" customWidth="1"/>
    <col min="13" max="19" width="6.5703125" style="3" customWidth="1"/>
    <col min="20" max="29" width="7.42578125" style="1" customWidth="1"/>
    <col min="30" max="16384" width="9.140625" style="1"/>
  </cols>
  <sheetData>
    <row r="1" spans="1:29" ht="15.75">
      <c r="A1" s="133" t="s">
        <v>17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  <c r="AC1" s="133"/>
    </row>
    <row r="2" spans="1:29">
      <c r="A2" s="16" t="s">
        <v>21</v>
      </c>
      <c r="B2" s="27"/>
      <c r="C2" s="44">
        <f>'ST-I'!C2</f>
        <v>6</v>
      </c>
      <c r="D2" s="130" t="s">
        <v>39</v>
      </c>
      <c r="E2" s="130"/>
      <c r="F2" s="32">
        <f>'ST-I'!F2</f>
        <v>65</v>
      </c>
      <c r="G2" s="45"/>
      <c r="H2" s="45"/>
      <c r="S2" s="16" t="s">
        <v>22</v>
      </c>
      <c r="T2" s="21" t="str">
        <f>'ST-I'!T2</f>
        <v>CSE</v>
      </c>
    </row>
    <row r="3" spans="1:29">
      <c r="A3" s="135" t="s">
        <v>24</v>
      </c>
      <c r="B3" s="135"/>
      <c r="C3" s="149" t="str">
        <f>'ST-I'!C3:H3</f>
        <v>CS304 COMPILER DESIGN</v>
      </c>
      <c r="D3" s="149"/>
      <c r="E3" s="149"/>
      <c r="F3" s="149"/>
      <c r="G3" s="149"/>
      <c r="H3" s="149"/>
      <c r="S3" s="16" t="s">
        <v>23</v>
      </c>
      <c r="T3" s="136" t="str">
        <f>'ST-I'!T3:AC3</f>
        <v>Dr. Subu Surendran</v>
      </c>
      <c r="U3" s="136"/>
      <c r="V3" s="136"/>
      <c r="W3" s="136"/>
      <c r="X3" s="136"/>
      <c r="Y3" s="136"/>
      <c r="Z3" s="136"/>
      <c r="AA3" s="136"/>
      <c r="AB3" s="136"/>
      <c r="AC3" s="136"/>
    </row>
    <row r="4" spans="1:29">
      <c r="A4" s="29"/>
      <c r="B4" s="29"/>
      <c r="C4" s="29"/>
      <c r="D4" s="28"/>
      <c r="E4" s="28"/>
      <c r="F4" s="28"/>
      <c r="G4" s="28"/>
      <c r="H4" s="28"/>
      <c r="I4" s="37"/>
      <c r="J4" s="37"/>
      <c r="K4" s="37"/>
      <c r="L4" s="37"/>
      <c r="M4" s="28"/>
      <c r="N4" s="28"/>
      <c r="O4" s="28"/>
      <c r="P4" s="28"/>
      <c r="Q4" s="28"/>
      <c r="R4" s="28"/>
      <c r="S4" s="28"/>
    </row>
    <row r="5" spans="1:29">
      <c r="A5" s="140" t="s">
        <v>16</v>
      </c>
      <c r="B5" s="140" t="s">
        <v>1</v>
      </c>
      <c r="C5" s="143" t="s">
        <v>15</v>
      </c>
      <c r="D5" s="18" t="s">
        <v>11</v>
      </c>
      <c r="E5" s="19">
        <v>1</v>
      </c>
      <c r="F5" s="19">
        <v>2</v>
      </c>
      <c r="G5" s="19">
        <v>3</v>
      </c>
      <c r="H5" s="19">
        <v>4</v>
      </c>
      <c r="I5" s="38">
        <v>5</v>
      </c>
      <c r="J5" s="38">
        <v>6</v>
      </c>
      <c r="K5" s="38">
        <v>7</v>
      </c>
      <c r="L5" s="39">
        <v>8</v>
      </c>
      <c r="M5" s="20">
        <v>9</v>
      </c>
      <c r="N5" s="20">
        <v>10</v>
      </c>
      <c r="O5" s="20">
        <v>11</v>
      </c>
      <c r="P5" s="20">
        <v>12</v>
      </c>
      <c r="Q5" s="20">
        <v>13</v>
      </c>
      <c r="R5" s="20">
        <v>14</v>
      </c>
      <c r="S5" s="20">
        <v>15</v>
      </c>
      <c r="T5" s="137" t="s">
        <v>20</v>
      </c>
      <c r="U5" s="138"/>
      <c r="V5" s="138"/>
      <c r="W5" s="138"/>
      <c r="X5" s="138"/>
      <c r="Y5" s="138"/>
      <c r="Z5" s="138"/>
      <c r="AA5" s="138"/>
      <c r="AB5" s="138"/>
      <c r="AC5" s="139"/>
    </row>
    <row r="6" spans="1:29">
      <c r="A6" s="141"/>
      <c r="B6" s="141"/>
      <c r="C6" s="144"/>
      <c r="D6" s="18" t="s">
        <v>13</v>
      </c>
      <c r="E6" s="17">
        <v>3</v>
      </c>
      <c r="F6" s="17">
        <v>3</v>
      </c>
      <c r="G6" s="17">
        <v>3</v>
      </c>
      <c r="H6" s="17">
        <v>3</v>
      </c>
      <c r="I6" s="17">
        <v>3</v>
      </c>
      <c r="J6" s="17">
        <v>10</v>
      </c>
      <c r="K6" s="17">
        <v>15</v>
      </c>
      <c r="L6" s="17"/>
      <c r="M6" s="17"/>
      <c r="N6" s="17"/>
      <c r="O6" s="17"/>
      <c r="P6" s="17"/>
      <c r="Q6" s="17"/>
      <c r="R6" s="17"/>
      <c r="S6" s="17"/>
      <c r="T6" s="18" t="s">
        <v>2</v>
      </c>
      <c r="U6" s="18" t="s">
        <v>3</v>
      </c>
      <c r="V6" s="18" t="s">
        <v>4</v>
      </c>
      <c r="W6" s="18" t="s">
        <v>5</v>
      </c>
      <c r="X6" s="18" t="s">
        <v>19</v>
      </c>
      <c r="Y6" s="18" t="s">
        <v>25</v>
      </c>
      <c r="Z6" s="18" t="s">
        <v>26</v>
      </c>
      <c r="AA6" s="18" t="s">
        <v>27</v>
      </c>
      <c r="AB6" s="18" t="s">
        <v>28</v>
      </c>
      <c r="AC6" s="18" t="s">
        <v>29</v>
      </c>
    </row>
    <row r="7" spans="1:29">
      <c r="A7" s="141"/>
      <c r="B7" s="141"/>
      <c r="C7" s="144"/>
      <c r="D7" s="146" t="s">
        <v>12</v>
      </c>
      <c r="E7" s="131">
        <v>5</v>
      </c>
      <c r="F7" s="131">
        <v>3</v>
      </c>
      <c r="G7" s="131">
        <v>5</v>
      </c>
      <c r="H7" s="131">
        <v>3</v>
      </c>
      <c r="I7" s="131">
        <v>5</v>
      </c>
      <c r="J7" s="131">
        <v>5</v>
      </c>
      <c r="K7" s="131">
        <v>3</v>
      </c>
      <c r="L7" s="131"/>
      <c r="M7" s="131"/>
      <c r="N7" s="131"/>
      <c r="O7" s="131"/>
      <c r="P7" s="131"/>
      <c r="Q7" s="131"/>
      <c r="R7" s="131"/>
      <c r="S7" s="131"/>
      <c r="T7" s="137" t="s">
        <v>14</v>
      </c>
      <c r="U7" s="138"/>
      <c r="V7" s="138"/>
      <c r="W7" s="138"/>
      <c r="X7" s="138"/>
      <c r="Y7" s="138"/>
      <c r="Z7" s="138"/>
      <c r="AA7" s="138"/>
      <c r="AB7" s="138"/>
      <c r="AC7" s="139"/>
    </row>
    <row r="8" spans="1:29">
      <c r="A8" s="142"/>
      <c r="B8" s="142"/>
      <c r="C8" s="145"/>
      <c r="D8" s="147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26">
        <v>0</v>
      </c>
      <c r="U8" s="26">
        <v>0</v>
      </c>
      <c r="V8" s="26">
        <v>21</v>
      </c>
      <c r="W8" s="26">
        <v>0</v>
      </c>
      <c r="X8" s="26">
        <v>19</v>
      </c>
      <c r="Y8" s="26">
        <v>0</v>
      </c>
      <c r="Z8" s="26">
        <v>0</v>
      </c>
      <c r="AA8" s="26">
        <v>0</v>
      </c>
      <c r="AB8" s="26">
        <v>0</v>
      </c>
      <c r="AC8" s="26">
        <v>0</v>
      </c>
    </row>
    <row r="9" spans="1:29">
      <c r="A9" s="11">
        <v>201</v>
      </c>
      <c r="B9" s="115" t="str">
        <f>'ST-I'!B9</f>
        <v>SCT15CS001</v>
      </c>
      <c r="C9" s="121" t="s">
        <v>84</v>
      </c>
      <c r="D9" s="6"/>
      <c r="E9" s="11">
        <v>3</v>
      </c>
      <c r="F9" s="123">
        <v>3</v>
      </c>
      <c r="G9" s="11">
        <v>3</v>
      </c>
      <c r="H9" s="123">
        <v>1</v>
      </c>
      <c r="I9" s="11">
        <v>3</v>
      </c>
      <c r="J9" s="123">
        <v>3</v>
      </c>
      <c r="K9" s="25">
        <v>4</v>
      </c>
      <c r="L9" s="11"/>
      <c r="M9" s="30"/>
      <c r="N9" s="30"/>
      <c r="O9" s="25"/>
      <c r="P9" s="25"/>
      <c r="Q9" s="22"/>
      <c r="R9" s="22"/>
      <c r="S9" s="22"/>
      <c r="T9" s="26">
        <v>0</v>
      </c>
      <c r="U9" s="26">
        <v>0</v>
      </c>
      <c r="V9" s="26">
        <v>8</v>
      </c>
      <c r="W9" s="26">
        <v>0</v>
      </c>
      <c r="X9" s="26">
        <v>12</v>
      </c>
      <c r="Y9" s="26">
        <v>0</v>
      </c>
      <c r="Z9" s="26">
        <v>0</v>
      </c>
      <c r="AA9" s="26">
        <v>0</v>
      </c>
      <c r="AB9" s="26">
        <v>0</v>
      </c>
      <c r="AC9" s="26">
        <v>0</v>
      </c>
    </row>
    <row r="10" spans="1:29">
      <c r="A10" s="11">
        <v>202</v>
      </c>
      <c r="B10" s="115" t="str">
        <f>'ST-I'!B10</f>
        <v>SCT15CS002</v>
      </c>
      <c r="C10" s="121" t="s">
        <v>85</v>
      </c>
      <c r="D10" s="6"/>
      <c r="E10" s="11">
        <v>3</v>
      </c>
      <c r="F10" s="123">
        <v>1</v>
      </c>
      <c r="G10" s="11">
        <v>3</v>
      </c>
      <c r="H10" s="123">
        <v>3</v>
      </c>
      <c r="I10" s="11">
        <v>3</v>
      </c>
      <c r="J10" s="123">
        <v>3</v>
      </c>
      <c r="K10" s="25">
        <v>15</v>
      </c>
      <c r="L10" s="11"/>
      <c r="M10" s="30"/>
      <c r="N10" s="30"/>
      <c r="O10" s="25"/>
      <c r="P10" s="25"/>
      <c r="Q10" s="22"/>
      <c r="R10" s="22"/>
      <c r="S10" s="22"/>
      <c r="T10" s="26">
        <v>0</v>
      </c>
      <c r="U10" s="26">
        <v>0</v>
      </c>
      <c r="V10" s="26">
        <v>19</v>
      </c>
      <c r="W10" s="26">
        <v>0</v>
      </c>
      <c r="X10" s="26">
        <v>12</v>
      </c>
      <c r="Y10" s="26">
        <v>0</v>
      </c>
      <c r="Z10" s="26">
        <v>0</v>
      </c>
      <c r="AA10" s="26">
        <v>0</v>
      </c>
      <c r="AB10" s="26">
        <v>0</v>
      </c>
      <c r="AC10" s="26">
        <v>0</v>
      </c>
    </row>
    <row r="11" spans="1:29">
      <c r="A11" s="11">
        <v>203</v>
      </c>
      <c r="B11" s="115" t="str">
        <f>'ST-I'!B11</f>
        <v>SCT15CS003</v>
      </c>
      <c r="C11" s="121" t="s">
        <v>86</v>
      </c>
      <c r="D11" s="6"/>
      <c r="E11" s="11">
        <v>3</v>
      </c>
      <c r="F11" s="123">
        <v>2</v>
      </c>
      <c r="G11" s="11">
        <v>2</v>
      </c>
      <c r="H11" s="123">
        <v>2</v>
      </c>
      <c r="I11" s="11">
        <v>3</v>
      </c>
      <c r="J11" s="123">
        <v>3</v>
      </c>
      <c r="K11" s="25">
        <v>14</v>
      </c>
      <c r="L11" s="11"/>
      <c r="M11" s="30"/>
      <c r="N11" s="30"/>
      <c r="O11" s="25"/>
      <c r="P11" s="25"/>
      <c r="Q11" s="22"/>
      <c r="R11" s="22"/>
      <c r="S11" s="22"/>
      <c r="T11" s="26">
        <v>0</v>
      </c>
      <c r="U11" s="26">
        <v>0</v>
      </c>
      <c r="V11" s="26">
        <v>18</v>
      </c>
      <c r="W11" s="26">
        <v>0</v>
      </c>
      <c r="X11" s="26">
        <v>11</v>
      </c>
      <c r="Y11" s="26">
        <v>0</v>
      </c>
      <c r="Z11" s="26">
        <v>0</v>
      </c>
      <c r="AA11" s="26">
        <v>0</v>
      </c>
      <c r="AB11" s="26">
        <v>0</v>
      </c>
      <c r="AC11" s="26">
        <v>0</v>
      </c>
    </row>
    <row r="12" spans="1:29">
      <c r="A12" s="11">
        <v>204</v>
      </c>
      <c r="B12" s="115" t="str">
        <f>'ST-I'!B12</f>
        <v>SCT15CS004</v>
      </c>
      <c r="C12" s="121" t="s">
        <v>87</v>
      </c>
      <c r="D12" s="6"/>
      <c r="E12" s="11">
        <v>3</v>
      </c>
      <c r="F12" s="123">
        <v>3</v>
      </c>
      <c r="G12" s="11">
        <v>3</v>
      </c>
      <c r="H12" s="123">
        <v>2</v>
      </c>
      <c r="I12" s="11">
        <v>3</v>
      </c>
      <c r="J12" s="123">
        <v>3</v>
      </c>
      <c r="K12" s="25">
        <v>2</v>
      </c>
      <c r="L12" s="11"/>
      <c r="M12" s="30"/>
      <c r="N12" s="30"/>
      <c r="O12" s="25"/>
      <c r="P12" s="25"/>
      <c r="Q12" s="22"/>
      <c r="R12" s="22"/>
      <c r="S12" s="22"/>
      <c r="T12" s="26">
        <v>0</v>
      </c>
      <c r="U12" s="26">
        <v>0</v>
      </c>
      <c r="V12" s="26">
        <v>7</v>
      </c>
      <c r="W12" s="26">
        <v>0</v>
      </c>
      <c r="X12" s="26">
        <v>12</v>
      </c>
      <c r="Y12" s="26">
        <v>0</v>
      </c>
      <c r="Z12" s="26">
        <v>0</v>
      </c>
      <c r="AA12" s="26">
        <v>0</v>
      </c>
      <c r="AB12" s="26">
        <v>0</v>
      </c>
      <c r="AC12" s="26">
        <v>0</v>
      </c>
    </row>
    <row r="13" spans="1:29">
      <c r="A13" s="11">
        <v>205</v>
      </c>
      <c r="B13" s="115" t="str">
        <f>'ST-I'!B13</f>
        <v>SCT15CS005</v>
      </c>
      <c r="C13" s="121" t="s">
        <v>88</v>
      </c>
      <c r="D13" s="6"/>
      <c r="E13" s="11">
        <v>3</v>
      </c>
      <c r="F13" s="123">
        <v>3</v>
      </c>
      <c r="G13" s="11">
        <v>1.5</v>
      </c>
      <c r="H13" s="123">
        <v>1</v>
      </c>
      <c r="I13" s="11">
        <v>3</v>
      </c>
      <c r="J13" s="123">
        <v>3</v>
      </c>
      <c r="K13" s="25">
        <v>11</v>
      </c>
      <c r="L13" s="11"/>
      <c r="M13" s="30"/>
      <c r="N13" s="30"/>
      <c r="O13" s="25"/>
      <c r="P13" s="25"/>
      <c r="Q13" s="22"/>
      <c r="R13" s="22"/>
      <c r="S13" s="22"/>
      <c r="T13" s="26">
        <v>0</v>
      </c>
      <c r="U13" s="26">
        <v>0</v>
      </c>
      <c r="V13" s="26">
        <v>15</v>
      </c>
      <c r="W13" s="26">
        <v>0</v>
      </c>
      <c r="X13" s="26">
        <v>10.5</v>
      </c>
      <c r="Y13" s="26">
        <v>0</v>
      </c>
      <c r="Z13" s="26">
        <v>0</v>
      </c>
      <c r="AA13" s="26">
        <v>0</v>
      </c>
      <c r="AB13" s="26">
        <v>0</v>
      </c>
      <c r="AC13" s="26">
        <v>0</v>
      </c>
    </row>
    <row r="14" spans="1:29">
      <c r="A14" s="11">
        <v>206</v>
      </c>
      <c r="B14" s="115" t="str">
        <f>'ST-I'!B14</f>
        <v>SCT15CS006</v>
      </c>
      <c r="C14" s="121" t="s">
        <v>89</v>
      </c>
      <c r="D14" s="6"/>
      <c r="E14" s="11">
        <v>3</v>
      </c>
      <c r="F14" s="123">
        <v>0.5</v>
      </c>
      <c r="G14" s="11">
        <v>3</v>
      </c>
      <c r="H14" s="123">
        <v>2</v>
      </c>
      <c r="I14" s="11">
        <v>3</v>
      </c>
      <c r="J14" s="123">
        <v>3</v>
      </c>
      <c r="K14" s="25">
        <v>15</v>
      </c>
      <c r="L14" s="11"/>
      <c r="M14" s="30"/>
      <c r="N14" s="30"/>
      <c r="O14" s="25"/>
      <c r="P14" s="25"/>
      <c r="Q14" s="22"/>
      <c r="R14" s="22"/>
      <c r="S14" s="22"/>
      <c r="T14" s="26">
        <v>0</v>
      </c>
      <c r="U14" s="26">
        <v>0</v>
      </c>
      <c r="V14" s="26">
        <v>17.5</v>
      </c>
      <c r="W14" s="26">
        <v>0</v>
      </c>
      <c r="X14" s="26">
        <v>12</v>
      </c>
      <c r="Y14" s="26">
        <v>0</v>
      </c>
      <c r="Z14" s="26">
        <v>0</v>
      </c>
      <c r="AA14" s="26">
        <v>0</v>
      </c>
      <c r="AB14" s="26">
        <v>0</v>
      </c>
      <c r="AC14" s="26">
        <v>0</v>
      </c>
    </row>
    <row r="15" spans="1:29">
      <c r="A15" s="11">
        <v>207</v>
      </c>
      <c r="B15" s="115" t="str">
        <f>'ST-I'!B15</f>
        <v>SCT15CS007</v>
      </c>
      <c r="C15" s="121" t="s">
        <v>90</v>
      </c>
      <c r="D15" s="6"/>
      <c r="E15" s="11"/>
      <c r="F15" s="123"/>
      <c r="G15" s="11"/>
      <c r="H15" s="123"/>
      <c r="I15" s="11"/>
      <c r="J15" s="123"/>
      <c r="K15" s="25"/>
      <c r="L15" s="11"/>
      <c r="M15" s="30"/>
      <c r="N15" s="30"/>
      <c r="O15" s="25"/>
      <c r="P15" s="25"/>
      <c r="Q15" s="22"/>
      <c r="R15" s="22"/>
      <c r="S15" s="22"/>
      <c r="T15" s="26">
        <v>0</v>
      </c>
      <c r="U15" s="26">
        <v>0</v>
      </c>
      <c r="V15" s="26">
        <v>0</v>
      </c>
      <c r="W15" s="26">
        <v>0</v>
      </c>
      <c r="X15" s="26">
        <v>0</v>
      </c>
      <c r="Y15" s="26">
        <v>0</v>
      </c>
      <c r="Z15" s="26">
        <v>0</v>
      </c>
      <c r="AA15" s="26">
        <v>0</v>
      </c>
      <c r="AB15" s="26">
        <v>0</v>
      </c>
      <c r="AC15" s="26">
        <v>0</v>
      </c>
    </row>
    <row r="16" spans="1:29">
      <c r="A16" s="11">
        <v>208</v>
      </c>
      <c r="B16" s="115" t="str">
        <f>'ST-I'!B16</f>
        <v>SCT15CS008</v>
      </c>
      <c r="C16" s="121" t="s">
        <v>91</v>
      </c>
      <c r="D16" s="6"/>
      <c r="E16" s="11">
        <v>3</v>
      </c>
      <c r="F16" s="123">
        <v>2</v>
      </c>
      <c r="G16" s="11">
        <v>2</v>
      </c>
      <c r="H16" s="123">
        <v>2</v>
      </c>
      <c r="I16" s="11"/>
      <c r="J16" s="123">
        <v>3</v>
      </c>
      <c r="K16" s="25">
        <v>11</v>
      </c>
      <c r="L16" s="11"/>
      <c r="M16" s="30"/>
      <c r="N16" s="30"/>
      <c r="O16" s="25"/>
      <c r="P16" s="25"/>
      <c r="Q16" s="22"/>
      <c r="R16" s="22"/>
      <c r="S16" s="22"/>
      <c r="T16" s="26">
        <v>0</v>
      </c>
      <c r="U16" s="26">
        <v>0</v>
      </c>
      <c r="V16" s="26">
        <v>15</v>
      </c>
      <c r="W16" s="26">
        <v>0</v>
      </c>
      <c r="X16" s="26">
        <v>8</v>
      </c>
      <c r="Y16" s="26">
        <v>0</v>
      </c>
      <c r="Z16" s="26">
        <v>0</v>
      </c>
      <c r="AA16" s="26">
        <v>0</v>
      </c>
      <c r="AB16" s="26">
        <v>0</v>
      </c>
      <c r="AC16" s="26">
        <v>0</v>
      </c>
    </row>
    <row r="17" spans="1:29">
      <c r="A17" s="11">
        <v>209</v>
      </c>
      <c r="B17" s="115" t="str">
        <f>'ST-I'!B17</f>
        <v>SCT15CS009</v>
      </c>
      <c r="C17" s="121" t="s">
        <v>92</v>
      </c>
      <c r="D17" s="6"/>
      <c r="E17" s="11">
        <v>3</v>
      </c>
      <c r="F17" s="123">
        <v>3</v>
      </c>
      <c r="G17" s="11">
        <v>3</v>
      </c>
      <c r="H17" s="123">
        <v>3</v>
      </c>
      <c r="I17" s="11">
        <v>3</v>
      </c>
      <c r="J17" s="123"/>
      <c r="K17" s="25">
        <v>7</v>
      </c>
      <c r="L17" s="11"/>
      <c r="M17" s="30"/>
      <c r="N17" s="30"/>
      <c r="O17" s="25"/>
      <c r="P17" s="25"/>
      <c r="Q17" s="22"/>
      <c r="R17" s="22"/>
      <c r="S17" s="22"/>
      <c r="T17" s="26">
        <v>0</v>
      </c>
      <c r="U17" s="26">
        <v>0</v>
      </c>
      <c r="V17" s="26">
        <v>13</v>
      </c>
      <c r="W17" s="26">
        <v>0</v>
      </c>
      <c r="X17" s="26">
        <v>9</v>
      </c>
      <c r="Y17" s="26">
        <v>0</v>
      </c>
      <c r="Z17" s="26">
        <v>0</v>
      </c>
      <c r="AA17" s="26">
        <v>0</v>
      </c>
      <c r="AB17" s="26">
        <v>0</v>
      </c>
      <c r="AC17" s="26">
        <v>0</v>
      </c>
    </row>
    <row r="18" spans="1:29">
      <c r="A18" s="11">
        <v>210</v>
      </c>
      <c r="B18" s="115" t="str">
        <f>'ST-I'!B18</f>
        <v>SCT15CS010</v>
      </c>
      <c r="C18" s="121" t="s">
        <v>93</v>
      </c>
      <c r="D18" s="6"/>
      <c r="E18" s="11">
        <v>3</v>
      </c>
      <c r="F18" s="123">
        <v>3</v>
      </c>
      <c r="G18" s="11">
        <v>3</v>
      </c>
      <c r="H18" s="123">
        <v>3</v>
      </c>
      <c r="I18" s="11">
        <v>3</v>
      </c>
      <c r="J18" s="123">
        <v>4</v>
      </c>
      <c r="K18" s="25">
        <v>15</v>
      </c>
      <c r="L18" s="11"/>
      <c r="M18" s="30"/>
      <c r="N18" s="30"/>
      <c r="O18" s="25"/>
      <c r="P18" s="25"/>
      <c r="Q18" s="22"/>
      <c r="R18" s="22"/>
      <c r="S18" s="22"/>
      <c r="T18" s="26">
        <v>0</v>
      </c>
      <c r="U18" s="26">
        <v>0</v>
      </c>
      <c r="V18" s="26">
        <v>21</v>
      </c>
      <c r="W18" s="26">
        <v>0</v>
      </c>
      <c r="X18" s="26">
        <v>13</v>
      </c>
      <c r="Y18" s="26">
        <v>0</v>
      </c>
      <c r="Z18" s="26">
        <v>0</v>
      </c>
      <c r="AA18" s="26">
        <v>0</v>
      </c>
      <c r="AB18" s="26">
        <v>0</v>
      </c>
      <c r="AC18" s="26">
        <v>0</v>
      </c>
    </row>
    <row r="19" spans="1:29">
      <c r="A19" s="11">
        <v>211</v>
      </c>
      <c r="B19" s="115" t="str">
        <f>'ST-I'!B19</f>
        <v>SCT15CS011</v>
      </c>
      <c r="C19" s="121" t="s">
        <v>94</v>
      </c>
      <c r="D19" s="6"/>
      <c r="E19" s="11">
        <v>3</v>
      </c>
      <c r="F19" s="123">
        <v>3</v>
      </c>
      <c r="G19" s="11">
        <v>3</v>
      </c>
      <c r="H19" s="123">
        <v>3</v>
      </c>
      <c r="I19" s="11">
        <v>3</v>
      </c>
      <c r="J19" s="123">
        <v>10</v>
      </c>
      <c r="K19" s="25">
        <v>15</v>
      </c>
      <c r="L19" s="11"/>
      <c r="M19" s="30"/>
      <c r="N19" s="30"/>
      <c r="O19" s="25"/>
      <c r="P19" s="25"/>
      <c r="Q19" s="22"/>
      <c r="R19" s="22"/>
      <c r="S19" s="22"/>
      <c r="T19" s="26">
        <v>0</v>
      </c>
      <c r="U19" s="26">
        <v>0</v>
      </c>
      <c r="V19" s="26">
        <v>21</v>
      </c>
      <c r="W19" s="26">
        <v>0</v>
      </c>
      <c r="X19" s="26">
        <v>19</v>
      </c>
      <c r="Y19" s="26">
        <v>0</v>
      </c>
      <c r="Z19" s="26">
        <v>0</v>
      </c>
      <c r="AA19" s="26">
        <v>0</v>
      </c>
      <c r="AB19" s="26">
        <v>0</v>
      </c>
      <c r="AC19" s="26">
        <v>0</v>
      </c>
    </row>
    <row r="20" spans="1:29">
      <c r="A20" s="11">
        <v>212</v>
      </c>
      <c r="B20" s="115" t="str">
        <f>'ST-I'!B20</f>
        <v>SCT15CS012</v>
      </c>
      <c r="C20" s="121" t="s">
        <v>95</v>
      </c>
      <c r="D20" s="6"/>
      <c r="E20" s="11">
        <v>3</v>
      </c>
      <c r="F20" s="123">
        <v>1</v>
      </c>
      <c r="G20" s="11">
        <v>3</v>
      </c>
      <c r="H20" s="123">
        <v>3</v>
      </c>
      <c r="I20" s="11">
        <v>3</v>
      </c>
      <c r="J20" s="123">
        <v>3</v>
      </c>
      <c r="K20" s="25">
        <v>15</v>
      </c>
      <c r="L20" s="11"/>
      <c r="M20" s="30"/>
      <c r="N20" s="30"/>
      <c r="O20" s="25"/>
      <c r="P20" s="25"/>
      <c r="Q20" s="22"/>
      <c r="R20" s="22"/>
      <c r="S20" s="22"/>
      <c r="T20" s="26">
        <v>0</v>
      </c>
      <c r="U20" s="26">
        <v>0</v>
      </c>
      <c r="V20" s="26">
        <v>19</v>
      </c>
      <c r="W20" s="26">
        <v>0</v>
      </c>
      <c r="X20" s="26">
        <v>12</v>
      </c>
      <c r="Y20" s="26">
        <v>0</v>
      </c>
      <c r="Z20" s="26">
        <v>0</v>
      </c>
      <c r="AA20" s="26">
        <v>0</v>
      </c>
      <c r="AB20" s="26">
        <v>0</v>
      </c>
      <c r="AC20" s="26">
        <v>0</v>
      </c>
    </row>
    <row r="21" spans="1:29">
      <c r="A21" s="11">
        <v>213</v>
      </c>
      <c r="B21" s="115" t="str">
        <f>'ST-I'!B21</f>
        <v>SCT15CS013</v>
      </c>
      <c r="C21" s="121" t="s">
        <v>96</v>
      </c>
      <c r="D21" s="6"/>
      <c r="E21" s="11">
        <v>3</v>
      </c>
      <c r="F21" s="123">
        <v>3</v>
      </c>
      <c r="G21" s="11">
        <v>3</v>
      </c>
      <c r="H21" s="123">
        <v>3</v>
      </c>
      <c r="I21" s="11">
        <v>3</v>
      </c>
      <c r="J21" s="123"/>
      <c r="K21" s="25">
        <v>6</v>
      </c>
      <c r="L21" s="11"/>
      <c r="M21" s="30"/>
      <c r="N21" s="30"/>
      <c r="O21" s="25"/>
      <c r="P21" s="25"/>
      <c r="Q21" s="22"/>
      <c r="R21" s="22"/>
      <c r="S21" s="22"/>
      <c r="T21" s="26">
        <v>0</v>
      </c>
      <c r="U21" s="26">
        <v>0</v>
      </c>
      <c r="V21" s="26">
        <v>12</v>
      </c>
      <c r="W21" s="26">
        <v>0</v>
      </c>
      <c r="X21" s="26">
        <v>9</v>
      </c>
      <c r="Y21" s="26">
        <v>0</v>
      </c>
      <c r="Z21" s="26">
        <v>0</v>
      </c>
      <c r="AA21" s="26">
        <v>0</v>
      </c>
      <c r="AB21" s="26">
        <v>0</v>
      </c>
      <c r="AC21" s="26">
        <v>0</v>
      </c>
    </row>
    <row r="22" spans="1:29">
      <c r="A22" s="11">
        <v>214</v>
      </c>
      <c r="B22" s="115" t="str">
        <f>'ST-I'!B22</f>
        <v>SCT15CS014</v>
      </c>
      <c r="C22" s="121" t="s">
        <v>97</v>
      </c>
      <c r="D22" s="6"/>
      <c r="E22" s="11">
        <v>3</v>
      </c>
      <c r="F22" s="123">
        <v>3</v>
      </c>
      <c r="G22" s="11">
        <v>3</v>
      </c>
      <c r="H22" s="123">
        <v>3</v>
      </c>
      <c r="I22" s="11">
        <v>3</v>
      </c>
      <c r="J22" s="123">
        <v>10</v>
      </c>
      <c r="K22" s="25">
        <v>8</v>
      </c>
      <c r="L22" s="11"/>
      <c r="M22" s="30"/>
      <c r="N22" s="30"/>
      <c r="O22" s="25"/>
      <c r="P22" s="25"/>
      <c r="Q22" s="22"/>
      <c r="R22" s="22"/>
      <c r="S22" s="22"/>
      <c r="T22" s="26">
        <v>0</v>
      </c>
      <c r="U22" s="26">
        <v>0</v>
      </c>
      <c r="V22" s="26">
        <v>14</v>
      </c>
      <c r="W22" s="26">
        <v>0</v>
      </c>
      <c r="X22" s="26">
        <v>19</v>
      </c>
      <c r="Y22" s="26">
        <v>0</v>
      </c>
      <c r="Z22" s="26">
        <v>0</v>
      </c>
      <c r="AA22" s="26">
        <v>0</v>
      </c>
      <c r="AB22" s="26">
        <v>0</v>
      </c>
      <c r="AC22" s="26">
        <v>0</v>
      </c>
    </row>
    <row r="23" spans="1:29">
      <c r="A23" s="11">
        <v>215</v>
      </c>
      <c r="B23" s="115" t="str">
        <f>'ST-I'!B23</f>
        <v>SCT15CS015</v>
      </c>
      <c r="C23" s="121" t="s">
        <v>98</v>
      </c>
      <c r="D23" s="6"/>
      <c r="E23" s="11">
        <v>3</v>
      </c>
      <c r="F23" s="123">
        <v>3</v>
      </c>
      <c r="G23" s="11">
        <v>3</v>
      </c>
      <c r="H23" s="123">
        <v>3</v>
      </c>
      <c r="I23" s="11">
        <v>3</v>
      </c>
      <c r="J23" s="123">
        <v>10</v>
      </c>
      <c r="K23" s="25">
        <v>11</v>
      </c>
      <c r="L23" s="11"/>
      <c r="M23" s="30"/>
      <c r="N23" s="30"/>
      <c r="O23" s="25"/>
      <c r="P23" s="25"/>
      <c r="Q23" s="22"/>
      <c r="R23" s="22"/>
      <c r="S23" s="22"/>
      <c r="T23" s="26">
        <v>0</v>
      </c>
      <c r="U23" s="26">
        <v>0</v>
      </c>
      <c r="V23" s="26">
        <v>17</v>
      </c>
      <c r="W23" s="26">
        <v>0</v>
      </c>
      <c r="X23" s="26">
        <v>19</v>
      </c>
      <c r="Y23" s="26">
        <v>0</v>
      </c>
      <c r="Z23" s="26">
        <v>0</v>
      </c>
      <c r="AA23" s="26">
        <v>0</v>
      </c>
      <c r="AB23" s="26">
        <v>0</v>
      </c>
      <c r="AC23" s="26">
        <v>0</v>
      </c>
    </row>
    <row r="24" spans="1:29">
      <c r="A24" s="11">
        <v>216</v>
      </c>
      <c r="B24" s="115" t="str">
        <f>'ST-I'!B24</f>
        <v>SCT15CS016</v>
      </c>
      <c r="C24" s="121" t="s">
        <v>99</v>
      </c>
      <c r="D24" s="6"/>
      <c r="E24" s="11">
        <v>3</v>
      </c>
      <c r="F24" s="123">
        <v>2</v>
      </c>
      <c r="G24" s="11">
        <v>3</v>
      </c>
      <c r="H24" s="123">
        <v>2</v>
      </c>
      <c r="I24" s="11">
        <v>3</v>
      </c>
      <c r="J24" s="123"/>
      <c r="K24" s="25">
        <v>15</v>
      </c>
      <c r="L24" s="11"/>
      <c r="M24" s="30"/>
      <c r="N24" s="30"/>
      <c r="O24" s="25"/>
      <c r="P24" s="25"/>
      <c r="Q24" s="22"/>
      <c r="R24" s="22"/>
      <c r="S24" s="22"/>
      <c r="T24" s="26">
        <v>0</v>
      </c>
      <c r="U24" s="26">
        <v>0</v>
      </c>
      <c r="V24" s="26">
        <v>19</v>
      </c>
      <c r="W24" s="26">
        <v>0</v>
      </c>
      <c r="X24" s="26">
        <v>9</v>
      </c>
      <c r="Y24" s="26">
        <v>0</v>
      </c>
      <c r="Z24" s="26">
        <v>0</v>
      </c>
      <c r="AA24" s="26">
        <v>0</v>
      </c>
      <c r="AB24" s="26">
        <v>0</v>
      </c>
      <c r="AC24" s="26">
        <v>0</v>
      </c>
    </row>
    <row r="25" spans="1:29">
      <c r="A25" s="23">
        <f>'ST-I'!A25</f>
        <v>217</v>
      </c>
      <c r="B25" s="115" t="str">
        <f>'ST-I'!B25</f>
        <v>SCT15CS017</v>
      </c>
      <c r="C25" s="24" t="str">
        <f>'ST-I'!C25</f>
        <v>ATHULYA AL</v>
      </c>
      <c r="D25" s="6"/>
      <c r="E25" s="11"/>
      <c r="F25" s="123">
        <v>1</v>
      </c>
      <c r="G25" s="11"/>
      <c r="H25" s="123"/>
      <c r="I25" s="11">
        <v>1</v>
      </c>
      <c r="J25" s="123"/>
      <c r="K25" s="25"/>
      <c r="L25" s="11"/>
      <c r="M25" s="30"/>
      <c r="N25" s="30"/>
      <c r="O25" s="25"/>
      <c r="P25" s="25"/>
      <c r="Q25" s="22"/>
      <c r="R25" s="22"/>
      <c r="S25" s="22"/>
      <c r="T25" s="26">
        <v>0</v>
      </c>
      <c r="U25" s="26">
        <v>0</v>
      </c>
      <c r="V25" s="26">
        <v>1</v>
      </c>
      <c r="W25" s="26">
        <v>0</v>
      </c>
      <c r="X25" s="26">
        <v>1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</row>
    <row r="26" spans="1:29">
      <c r="A26" s="23">
        <f>'ST-I'!A26</f>
        <v>218</v>
      </c>
      <c r="B26" s="115" t="str">
        <f>'ST-I'!B26</f>
        <v>SCT15CS018</v>
      </c>
      <c r="C26" s="24" t="str">
        <f>'ST-I'!C26</f>
        <v>CYRIL SUNNY</v>
      </c>
      <c r="D26" s="6"/>
      <c r="E26" s="11">
        <v>1</v>
      </c>
      <c r="F26" s="123">
        <v>3</v>
      </c>
      <c r="G26" s="11">
        <v>1</v>
      </c>
      <c r="H26" s="123">
        <v>2</v>
      </c>
      <c r="I26" s="11">
        <v>3</v>
      </c>
      <c r="J26" s="123">
        <v>2</v>
      </c>
      <c r="K26" s="25">
        <v>3</v>
      </c>
      <c r="L26" s="11"/>
      <c r="M26" s="30"/>
      <c r="N26" s="30"/>
      <c r="O26" s="25"/>
      <c r="P26" s="25"/>
      <c r="Q26" s="22"/>
      <c r="R26" s="22"/>
      <c r="S26" s="22"/>
      <c r="T26" s="26">
        <v>0</v>
      </c>
      <c r="U26" s="26">
        <v>0</v>
      </c>
      <c r="V26" s="26">
        <v>8</v>
      </c>
      <c r="W26" s="26">
        <v>0</v>
      </c>
      <c r="X26" s="26">
        <v>7</v>
      </c>
      <c r="Y26" s="26">
        <v>0</v>
      </c>
      <c r="Z26" s="26">
        <v>0</v>
      </c>
      <c r="AA26" s="26">
        <v>0</v>
      </c>
      <c r="AB26" s="26">
        <v>0</v>
      </c>
      <c r="AC26" s="26">
        <v>0</v>
      </c>
    </row>
    <row r="27" spans="1:29">
      <c r="A27" s="23">
        <f>'ST-I'!A27</f>
        <v>219</v>
      </c>
      <c r="B27" s="115" t="str">
        <f>'ST-I'!B27</f>
        <v>SCT15CS019</v>
      </c>
      <c r="C27" s="24" t="str">
        <f>'ST-I'!C27</f>
        <v>DEEPAK R B</v>
      </c>
      <c r="D27" s="6"/>
      <c r="E27" s="11"/>
      <c r="F27" s="123"/>
      <c r="G27" s="11"/>
      <c r="H27" s="123"/>
      <c r="I27" s="11">
        <v>1.5</v>
      </c>
      <c r="J27" s="123">
        <v>10</v>
      </c>
      <c r="K27" s="25">
        <v>6</v>
      </c>
      <c r="L27" s="11"/>
      <c r="M27" s="30"/>
      <c r="N27" s="30"/>
      <c r="O27" s="25"/>
      <c r="P27" s="25"/>
      <c r="Q27" s="22"/>
      <c r="R27" s="22"/>
      <c r="S27" s="22"/>
      <c r="T27" s="26">
        <v>0</v>
      </c>
      <c r="U27" s="26">
        <v>0</v>
      </c>
      <c r="V27" s="26">
        <v>6</v>
      </c>
      <c r="W27" s="26">
        <v>0</v>
      </c>
      <c r="X27" s="26">
        <v>11.5</v>
      </c>
      <c r="Y27" s="26">
        <v>0</v>
      </c>
      <c r="Z27" s="26">
        <v>0</v>
      </c>
      <c r="AA27" s="26">
        <v>0</v>
      </c>
      <c r="AB27" s="26">
        <v>0</v>
      </c>
      <c r="AC27" s="26">
        <v>0</v>
      </c>
    </row>
    <row r="28" spans="1:29">
      <c r="A28" s="23">
        <f>'ST-I'!A28</f>
        <v>220</v>
      </c>
      <c r="B28" s="115" t="str">
        <f>'ST-I'!B28</f>
        <v>SCT15CS020</v>
      </c>
      <c r="C28" s="24" t="str">
        <f>'ST-I'!C28</f>
        <v>DEEPAK S S</v>
      </c>
      <c r="D28" s="6"/>
      <c r="E28" s="11">
        <v>2</v>
      </c>
      <c r="F28" s="123">
        <v>3</v>
      </c>
      <c r="G28" s="11">
        <v>1</v>
      </c>
      <c r="H28" s="123"/>
      <c r="I28" s="11">
        <v>2</v>
      </c>
      <c r="J28" s="123"/>
      <c r="K28" s="25">
        <v>6</v>
      </c>
      <c r="L28" s="11"/>
      <c r="M28" s="30"/>
      <c r="N28" s="30"/>
      <c r="O28" s="30"/>
      <c r="P28" s="30"/>
      <c r="Q28" s="22"/>
      <c r="R28" s="22"/>
      <c r="S28" s="22"/>
      <c r="T28" s="26">
        <v>0</v>
      </c>
      <c r="U28" s="26">
        <v>0</v>
      </c>
      <c r="V28" s="26">
        <v>9</v>
      </c>
      <c r="W28" s="26">
        <v>0</v>
      </c>
      <c r="X28" s="26">
        <v>5</v>
      </c>
      <c r="Y28" s="26">
        <v>0</v>
      </c>
      <c r="Z28" s="26">
        <v>0</v>
      </c>
      <c r="AA28" s="26">
        <v>0</v>
      </c>
      <c r="AB28" s="26">
        <v>0</v>
      </c>
      <c r="AC28" s="26">
        <v>0</v>
      </c>
    </row>
    <row r="29" spans="1:29">
      <c r="A29" s="23">
        <f>'ST-I'!A29</f>
        <v>221</v>
      </c>
      <c r="B29" s="115" t="str">
        <f>'ST-I'!B29</f>
        <v>SCT15CS021</v>
      </c>
      <c r="C29" s="24" t="str">
        <f>'ST-I'!C29</f>
        <v>DISHA D MAJITHIA</v>
      </c>
      <c r="D29" s="6"/>
      <c r="E29" s="11">
        <v>3</v>
      </c>
      <c r="F29" s="123">
        <v>3</v>
      </c>
      <c r="G29" s="11">
        <v>1</v>
      </c>
      <c r="H29" s="123">
        <v>3</v>
      </c>
      <c r="I29" s="11">
        <v>2</v>
      </c>
      <c r="J29" s="123">
        <v>3</v>
      </c>
      <c r="K29" s="25">
        <v>12</v>
      </c>
      <c r="L29" s="11"/>
      <c r="M29" s="30"/>
      <c r="N29" s="30"/>
      <c r="O29" s="25"/>
      <c r="P29" s="25"/>
      <c r="Q29" s="22"/>
      <c r="R29" s="22"/>
      <c r="S29" s="22"/>
      <c r="T29" s="26">
        <v>0</v>
      </c>
      <c r="U29" s="26">
        <v>0</v>
      </c>
      <c r="V29" s="26">
        <v>18</v>
      </c>
      <c r="W29" s="26">
        <v>0</v>
      </c>
      <c r="X29" s="26">
        <v>9</v>
      </c>
      <c r="Y29" s="26">
        <v>0</v>
      </c>
      <c r="Z29" s="26">
        <v>0</v>
      </c>
      <c r="AA29" s="26">
        <v>0</v>
      </c>
      <c r="AB29" s="26">
        <v>0</v>
      </c>
      <c r="AC29" s="26">
        <v>0</v>
      </c>
    </row>
    <row r="30" spans="1:29">
      <c r="A30" s="23">
        <f>'ST-I'!A30</f>
        <v>222</v>
      </c>
      <c r="B30" s="115" t="str">
        <f>'ST-I'!B30</f>
        <v>SCT15CS022</v>
      </c>
      <c r="C30" s="24" t="str">
        <f>'ST-I'!C30</f>
        <v>EBIN J</v>
      </c>
      <c r="D30" s="6"/>
      <c r="E30" s="11">
        <v>3</v>
      </c>
      <c r="F30" s="123">
        <v>2</v>
      </c>
      <c r="G30" s="11">
        <v>2</v>
      </c>
      <c r="H30" s="123">
        <v>2</v>
      </c>
      <c r="I30" s="11"/>
      <c r="J30" s="123"/>
      <c r="K30" s="25">
        <v>7</v>
      </c>
      <c r="L30" s="11"/>
      <c r="M30" s="30"/>
      <c r="N30" s="30"/>
      <c r="O30" s="25"/>
      <c r="P30" s="25"/>
      <c r="Q30" s="22"/>
      <c r="R30" s="22"/>
      <c r="S30" s="22"/>
      <c r="T30" s="26">
        <v>0</v>
      </c>
      <c r="U30" s="26">
        <v>0</v>
      </c>
      <c r="V30" s="26">
        <v>11</v>
      </c>
      <c r="W30" s="26">
        <v>0</v>
      </c>
      <c r="X30" s="26">
        <v>5</v>
      </c>
      <c r="Y30" s="26">
        <v>0</v>
      </c>
      <c r="Z30" s="26">
        <v>0</v>
      </c>
      <c r="AA30" s="26">
        <v>0</v>
      </c>
      <c r="AB30" s="26">
        <v>0</v>
      </c>
      <c r="AC30" s="26">
        <v>0</v>
      </c>
    </row>
    <row r="31" spans="1:29">
      <c r="A31" s="23">
        <f>'ST-I'!A31</f>
        <v>223</v>
      </c>
      <c r="B31" s="115" t="str">
        <f>'ST-I'!B31</f>
        <v>SCT15CS023</v>
      </c>
      <c r="C31" s="24" t="str">
        <f>'ST-I'!C31</f>
        <v>FAISAL MOHAMMED A</v>
      </c>
      <c r="D31" s="6"/>
      <c r="E31" s="11">
        <v>3</v>
      </c>
      <c r="F31" s="123">
        <v>3</v>
      </c>
      <c r="G31" s="11">
        <v>3</v>
      </c>
      <c r="H31" s="123"/>
      <c r="I31" s="11">
        <v>2</v>
      </c>
      <c r="J31" s="123">
        <v>3</v>
      </c>
      <c r="K31" s="25">
        <v>12</v>
      </c>
      <c r="L31" s="11"/>
      <c r="M31" s="30"/>
      <c r="N31" s="30"/>
      <c r="O31" s="25"/>
      <c r="P31" s="25"/>
      <c r="Q31" s="22"/>
      <c r="R31" s="22"/>
      <c r="S31" s="22"/>
      <c r="T31" s="26">
        <v>0</v>
      </c>
      <c r="U31" s="26">
        <v>0</v>
      </c>
      <c r="V31" s="26">
        <v>15</v>
      </c>
      <c r="W31" s="26">
        <v>0</v>
      </c>
      <c r="X31" s="26">
        <v>11</v>
      </c>
      <c r="Y31" s="26">
        <v>0</v>
      </c>
      <c r="Z31" s="26">
        <v>0</v>
      </c>
      <c r="AA31" s="26">
        <v>0</v>
      </c>
      <c r="AB31" s="26">
        <v>0</v>
      </c>
      <c r="AC31" s="26">
        <v>0</v>
      </c>
    </row>
    <row r="32" spans="1:29">
      <c r="A32" s="23">
        <f>'ST-I'!A32</f>
        <v>224</v>
      </c>
      <c r="B32" s="115" t="str">
        <f>'ST-I'!B32</f>
        <v>SCT15CS024</v>
      </c>
      <c r="C32" s="24" t="str">
        <f>'ST-I'!C32</f>
        <v>GAYATHRI S</v>
      </c>
      <c r="D32" s="6"/>
      <c r="E32" s="11"/>
      <c r="F32" s="123">
        <v>3</v>
      </c>
      <c r="G32" s="11">
        <v>2</v>
      </c>
      <c r="H32" s="123">
        <v>2</v>
      </c>
      <c r="I32" s="11">
        <v>3</v>
      </c>
      <c r="J32" s="123"/>
      <c r="K32" s="25">
        <v>3</v>
      </c>
      <c r="L32" s="11"/>
      <c r="M32" s="30"/>
      <c r="N32" s="30"/>
      <c r="O32" s="30"/>
      <c r="P32" s="30"/>
      <c r="Q32" s="22"/>
      <c r="R32" s="22"/>
      <c r="S32" s="22"/>
      <c r="T32" s="26">
        <v>0</v>
      </c>
      <c r="U32" s="26">
        <v>0</v>
      </c>
      <c r="V32" s="26">
        <v>8</v>
      </c>
      <c r="W32" s="26">
        <v>0</v>
      </c>
      <c r="X32" s="26">
        <v>5</v>
      </c>
      <c r="Y32" s="26">
        <v>0</v>
      </c>
      <c r="Z32" s="26">
        <v>0</v>
      </c>
      <c r="AA32" s="26">
        <v>0</v>
      </c>
      <c r="AB32" s="26">
        <v>0</v>
      </c>
      <c r="AC32" s="26">
        <v>0</v>
      </c>
    </row>
    <row r="33" spans="1:29">
      <c r="A33" s="23">
        <f>'ST-I'!A33</f>
        <v>225</v>
      </c>
      <c r="B33" s="115" t="str">
        <f>'ST-I'!B33</f>
        <v>SCT15CS025</v>
      </c>
      <c r="C33" s="24" t="str">
        <f>'ST-I'!C33</f>
        <v>GOPIKA M</v>
      </c>
      <c r="D33" s="6"/>
      <c r="E33" s="11">
        <v>3</v>
      </c>
      <c r="F33" s="123">
        <v>3</v>
      </c>
      <c r="G33" s="11">
        <v>3</v>
      </c>
      <c r="H33" s="123">
        <v>3</v>
      </c>
      <c r="I33" s="11">
        <v>3</v>
      </c>
      <c r="J33" s="123">
        <v>10</v>
      </c>
      <c r="K33" s="25">
        <v>13</v>
      </c>
      <c r="L33" s="11"/>
      <c r="M33" s="30"/>
      <c r="N33" s="30"/>
      <c r="O33" s="30"/>
      <c r="P33" s="30"/>
      <c r="Q33" s="22"/>
      <c r="R33" s="22"/>
      <c r="S33" s="22"/>
      <c r="T33" s="26">
        <v>0</v>
      </c>
      <c r="U33" s="26">
        <v>0</v>
      </c>
      <c r="V33" s="26">
        <v>19</v>
      </c>
      <c r="W33" s="26">
        <v>0</v>
      </c>
      <c r="X33" s="26">
        <v>19</v>
      </c>
      <c r="Y33" s="26">
        <v>0</v>
      </c>
      <c r="Z33" s="26">
        <v>0</v>
      </c>
      <c r="AA33" s="26">
        <v>0</v>
      </c>
      <c r="AB33" s="26">
        <v>0</v>
      </c>
      <c r="AC33" s="26">
        <v>0</v>
      </c>
    </row>
    <row r="34" spans="1:29">
      <c r="A34" s="23">
        <f>'ST-I'!A34</f>
        <v>226</v>
      </c>
      <c r="B34" s="115" t="str">
        <f>'ST-I'!B34</f>
        <v>SCT15CS026</v>
      </c>
      <c r="C34" s="24" t="str">
        <f>'ST-I'!C34</f>
        <v>GOURY JYOTHISH</v>
      </c>
      <c r="D34" s="6"/>
      <c r="E34" s="11">
        <v>3</v>
      </c>
      <c r="F34" s="123">
        <v>3</v>
      </c>
      <c r="G34" s="11">
        <v>3</v>
      </c>
      <c r="H34" s="123">
        <v>3</v>
      </c>
      <c r="I34" s="11">
        <v>3</v>
      </c>
      <c r="J34" s="123">
        <v>10</v>
      </c>
      <c r="K34" s="25">
        <v>11</v>
      </c>
      <c r="L34" s="11"/>
      <c r="M34" s="30"/>
      <c r="N34" s="30"/>
      <c r="O34" s="25"/>
      <c r="P34" s="25"/>
      <c r="Q34" s="22"/>
      <c r="R34" s="22"/>
      <c r="S34" s="22"/>
      <c r="T34" s="26">
        <v>0</v>
      </c>
      <c r="U34" s="26">
        <v>0</v>
      </c>
      <c r="V34" s="26">
        <v>17</v>
      </c>
      <c r="W34" s="26">
        <v>0</v>
      </c>
      <c r="X34" s="26">
        <v>19</v>
      </c>
      <c r="Y34" s="26">
        <v>0</v>
      </c>
      <c r="Z34" s="26">
        <v>0</v>
      </c>
      <c r="AA34" s="26">
        <v>0</v>
      </c>
      <c r="AB34" s="26">
        <v>0</v>
      </c>
      <c r="AC34" s="26">
        <v>0</v>
      </c>
    </row>
    <row r="35" spans="1:29">
      <c r="A35" s="23">
        <f>'ST-I'!A35</f>
        <v>227</v>
      </c>
      <c r="B35" s="115" t="str">
        <f>'ST-I'!B35</f>
        <v>SCT15CS027</v>
      </c>
      <c r="C35" s="24" t="str">
        <f>'ST-I'!C35</f>
        <v>GOVIND G S</v>
      </c>
      <c r="D35" s="6"/>
      <c r="E35" s="11">
        <v>3</v>
      </c>
      <c r="F35" s="123">
        <v>3</v>
      </c>
      <c r="G35" s="11">
        <v>3</v>
      </c>
      <c r="H35" s="123">
        <v>3</v>
      </c>
      <c r="I35" s="11">
        <v>3</v>
      </c>
      <c r="J35" s="123">
        <v>9</v>
      </c>
      <c r="K35" s="25">
        <v>7</v>
      </c>
      <c r="L35" s="11"/>
      <c r="M35" s="30"/>
      <c r="N35" s="30"/>
      <c r="O35" s="25"/>
      <c r="P35" s="25"/>
      <c r="Q35" s="22"/>
      <c r="R35" s="22"/>
      <c r="S35" s="22"/>
      <c r="T35" s="26">
        <v>0</v>
      </c>
      <c r="U35" s="26">
        <v>0</v>
      </c>
      <c r="V35" s="26">
        <v>13</v>
      </c>
      <c r="W35" s="26">
        <v>0</v>
      </c>
      <c r="X35" s="26">
        <v>18</v>
      </c>
      <c r="Y35" s="26">
        <v>0</v>
      </c>
      <c r="Z35" s="26">
        <v>0</v>
      </c>
      <c r="AA35" s="26">
        <v>0</v>
      </c>
      <c r="AB35" s="26">
        <v>0</v>
      </c>
      <c r="AC35" s="26">
        <v>0</v>
      </c>
    </row>
    <row r="36" spans="1:29">
      <c r="A36" s="23">
        <f>'ST-I'!A36</f>
        <v>228</v>
      </c>
      <c r="B36" s="115" t="str">
        <f>'ST-I'!B36</f>
        <v>SCT15CS028</v>
      </c>
      <c r="C36" s="24" t="str">
        <f>'ST-I'!C36</f>
        <v>GOVIND P</v>
      </c>
      <c r="D36" s="6"/>
      <c r="E36" s="11">
        <v>1</v>
      </c>
      <c r="F36" s="123">
        <v>1</v>
      </c>
      <c r="G36" s="11"/>
      <c r="H36" s="123">
        <v>0.5</v>
      </c>
      <c r="I36" s="11"/>
      <c r="J36" s="123">
        <v>4</v>
      </c>
      <c r="K36" s="25">
        <v>9</v>
      </c>
      <c r="L36" s="11"/>
      <c r="M36" s="30"/>
      <c r="N36" s="30"/>
      <c r="O36" s="25"/>
      <c r="P36" s="25"/>
      <c r="Q36" s="22"/>
      <c r="R36" s="22"/>
      <c r="S36" s="22"/>
      <c r="T36" s="26">
        <v>0</v>
      </c>
      <c r="U36" s="26">
        <v>0</v>
      </c>
      <c r="V36" s="26">
        <v>10.5</v>
      </c>
      <c r="W36" s="26">
        <v>0</v>
      </c>
      <c r="X36" s="26">
        <v>5</v>
      </c>
      <c r="Y36" s="26">
        <v>0</v>
      </c>
      <c r="Z36" s="26">
        <v>0</v>
      </c>
      <c r="AA36" s="26">
        <v>0</v>
      </c>
      <c r="AB36" s="26">
        <v>0</v>
      </c>
      <c r="AC36" s="26">
        <v>0</v>
      </c>
    </row>
    <row r="37" spans="1:29">
      <c r="A37" s="23">
        <f>'ST-I'!A37</f>
        <v>229</v>
      </c>
      <c r="B37" s="115" t="str">
        <f>'ST-I'!B37</f>
        <v>SCT15CS029</v>
      </c>
      <c r="C37" s="24" t="str">
        <f>'ST-I'!C37</f>
        <v>HIMA BINDU BHARDWAJ</v>
      </c>
      <c r="D37" s="6"/>
      <c r="E37" s="11">
        <v>3</v>
      </c>
      <c r="F37" s="123">
        <v>3</v>
      </c>
      <c r="G37" s="11">
        <v>3</v>
      </c>
      <c r="H37" s="123">
        <v>3</v>
      </c>
      <c r="I37" s="11">
        <v>3</v>
      </c>
      <c r="J37" s="123">
        <v>10</v>
      </c>
      <c r="K37" s="25">
        <v>10</v>
      </c>
      <c r="L37" s="11"/>
      <c r="M37" s="30"/>
      <c r="N37" s="30"/>
      <c r="O37" s="25"/>
      <c r="P37" s="25"/>
      <c r="Q37" s="22"/>
      <c r="R37" s="22"/>
      <c r="S37" s="22"/>
      <c r="T37" s="26">
        <v>0</v>
      </c>
      <c r="U37" s="26">
        <v>0</v>
      </c>
      <c r="V37" s="26">
        <v>16</v>
      </c>
      <c r="W37" s="26">
        <v>0</v>
      </c>
      <c r="X37" s="26">
        <v>19</v>
      </c>
      <c r="Y37" s="26">
        <v>0</v>
      </c>
      <c r="Z37" s="26">
        <v>0</v>
      </c>
      <c r="AA37" s="26">
        <v>0</v>
      </c>
      <c r="AB37" s="26">
        <v>0</v>
      </c>
      <c r="AC37" s="26">
        <v>0</v>
      </c>
    </row>
    <row r="38" spans="1:29">
      <c r="A38" s="23">
        <f>'ST-I'!A38</f>
        <v>230</v>
      </c>
      <c r="B38" s="115" t="str">
        <f>'ST-I'!B38</f>
        <v>SCT15CS030</v>
      </c>
      <c r="C38" s="24" t="str">
        <f>'ST-I'!C38</f>
        <v>J S MALINI</v>
      </c>
      <c r="D38" s="6"/>
      <c r="E38" s="11">
        <v>3</v>
      </c>
      <c r="F38" s="123">
        <v>3</v>
      </c>
      <c r="G38" s="11">
        <v>3</v>
      </c>
      <c r="H38" s="123">
        <v>3</v>
      </c>
      <c r="I38" s="11">
        <v>3</v>
      </c>
      <c r="J38" s="123">
        <v>4</v>
      </c>
      <c r="K38" s="25">
        <v>6</v>
      </c>
      <c r="L38" s="11"/>
      <c r="M38" s="30"/>
      <c r="N38" s="30"/>
      <c r="O38" s="30"/>
      <c r="P38" s="30"/>
      <c r="Q38" s="22"/>
      <c r="R38" s="22"/>
      <c r="S38" s="22"/>
      <c r="T38" s="26">
        <v>0</v>
      </c>
      <c r="U38" s="26">
        <v>0</v>
      </c>
      <c r="V38" s="26">
        <v>12</v>
      </c>
      <c r="W38" s="26">
        <v>0</v>
      </c>
      <c r="X38" s="26">
        <v>13</v>
      </c>
      <c r="Y38" s="26">
        <v>0</v>
      </c>
      <c r="Z38" s="26">
        <v>0</v>
      </c>
      <c r="AA38" s="26">
        <v>0</v>
      </c>
      <c r="AB38" s="26">
        <v>0</v>
      </c>
      <c r="AC38" s="26">
        <v>0</v>
      </c>
    </row>
    <row r="39" spans="1:29">
      <c r="A39" s="23">
        <f>'ST-I'!A39</f>
        <v>231</v>
      </c>
      <c r="B39" s="115" t="str">
        <f>'ST-I'!B39</f>
        <v>SCT15CS031</v>
      </c>
      <c r="C39" s="24" t="str">
        <f>'ST-I'!C39</f>
        <v>JEBBY JOSEPH</v>
      </c>
      <c r="D39" s="6"/>
      <c r="E39" s="11"/>
      <c r="F39" s="123">
        <v>2</v>
      </c>
      <c r="G39" s="11">
        <v>2</v>
      </c>
      <c r="H39" s="123"/>
      <c r="I39" s="11"/>
      <c r="J39" s="123"/>
      <c r="K39" s="25">
        <v>3</v>
      </c>
      <c r="L39" s="11"/>
      <c r="M39" s="30"/>
      <c r="N39" s="30"/>
      <c r="O39" s="25"/>
      <c r="P39" s="25"/>
      <c r="Q39" s="22"/>
      <c r="R39" s="22"/>
      <c r="S39" s="22"/>
      <c r="T39" s="26">
        <v>0</v>
      </c>
      <c r="U39" s="26">
        <v>0</v>
      </c>
      <c r="V39" s="26">
        <v>5</v>
      </c>
      <c r="W39" s="26">
        <v>0</v>
      </c>
      <c r="X39" s="26">
        <v>2</v>
      </c>
      <c r="Y39" s="26">
        <v>0</v>
      </c>
      <c r="Z39" s="26">
        <v>0</v>
      </c>
      <c r="AA39" s="26">
        <v>0</v>
      </c>
      <c r="AB39" s="26">
        <v>0</v>
      </c>
      <c r="AC39" s="26">
        <v>0</v>
      </c>
    </row>
    <row r="40" spans="1:29">
      <c r="A40" s="23">
        <f>'ST-I'!A40</f>
        <v>232</v>
      </c>
      <c r="B40" s="115" t="str">
        <f>'ST-I'!B40</f>
        <v>SCT15CS032</v>
      </c>
      <c r="C40" s="24" t="str">
        <f>'ST-I'!C40</f>
        <v>JISO K JOY</v>
      </c>
      <c r="D40" s="6"/>
      <c r="E40" s="11">
        <v>3</v>
      </c>
      <c r="F40" s="123">
        <v>3</v>
      </c>
      <c r="G40" s="11">
        <v>3</v>
      </c>
      <c r="H40" s="123">
        <v>2</v>
      </c>
      <c r="I40" s="11">
        <v>3</v>
      </c>
      <c r="J40" s="123">
        <v>4</v>
      </c>
      <c r="K40" s="40">
        <v>8</v>
      </c>
      <c r="L40" s="11"/>
      <c r="M40" s="30"/>
      <c r="N40" s="30"/>
      <c r="O40" s="25"/>
      <c r="P40" s="25"/>
      <c r="Q40" s="22"/>
      <c r="R40" s="22"/>
      <c r="S40" s="22"/>
      <c r="T40" s="26">
        <v>0</v>
      </c>
      <c r="U40" s="26">
        <v>0</v>
      </c>
      <c r="V40" s="26">
        <v>13</v>
      </c>
      <c r="W40" s="26">
        <v>0</v>
      </c>
      <c r="X40" s="26">
        <v>13</v>
      </c>
      <c r="Y40" s="26">
        <v>0</v>
      </c>
      <c r="Z40" s="26">
        <v>0</v>
      </c>
      <c r="AA40" s="26">
        <v>0</v>
      </c>
      <c r="AB40" s="26">
        <v>0</v>
      </c>
      <c r="AC40" s="26">
        <v>0</v>
      </c>
    </row>
    <row r="41" spans="1:29">
      <c r="A41" s="23">
        <f>'ST-I'!A41</f>
        <v>233</v>
      </c>
      <c r="B41" s="115" t="str">
        <f>'ST-I'!B41</f>
        <v>SCT15CS033</v>
      </c>
      <c r="C41" s="24" t="str">
        <f>'ST-I'!C41</f>
        <v>KANNAN K D P</v>
      </c>
      <c r="D41" s="6"/>
      <c r="E41" s="11">
        <v>3</v>
      </c>
      <c r="F41" s="123">
        <v>3</v>
      </c>
      <c r="G41" s="11">
        <v>3</v>
      </c>
      <c r="H41" s="123">
        <v>3</v>
      </c>
      <c r="I41" s="11">
        <v>3</v>
      </c>
      <c r="J41" s="123">
        <v>4</v>
      </c>
      <c r="K41" s="25">
        <v>15</v>
      </c>
      <c r="L41" s="11"/>
      <c r="M41" s="30"/>
      <c r="N41" s="30"/>
      <c r="O41" s="25"/>
      <c r="P41" s="25"/>
      <c r="Q41" s="22"/>
      <c r="R41" s="22"/>
      <c r="S41" s="22"/>
      <c r="T41" s="26">
        <v>0</v>
      </c>
      <c r="U41" s="26">
        <v>0</v>
      </c>
      <c r="V41" s="26">
        <v>21</v>
      </c>
      <c r="W41" s="26">
        <v>0</v>
      </c>
      <c r="X41" s="26">
        <v>13</v>
      </c>
      <c r="Y41" s="26">
        <v>0</v>
      </c>
      <c r="Z41" s="26">
        <v>0</v>
      </c>
      <c r="AA41" s="26">
        <v>0</v>
      </c>
      <c r="AB41" s="26">
        <v>0</v>
      </c>
      <c r="AC41" s="26">
        <v>0</v>
      </c>
    </row>
    <row r="42" spans="1:29">
      <c r="A42" s="23">
        <f>'ST-I'!A42</f>
        <v>234</v>
      </c>
      <c r="B42" s="115" t="str">
        <f>'ST-I'!B42</f>
        <v>SCT15CS034</v>
      </c>
      <c r="C42" s="24" t="str">
        <f>'ST-I'!C42</f>
        <v>KARTHIKA KRISHNA</v>
      </c>
      <c r="D42" s="6"/>
      <c r="E42" s="11">
        <v>3</v>
      </c>
      <c r="F42" s="123"/>
      <c r="G42" s="11">
        <v>3</v>
      </c>
      <c r="H42" s="123">
        <v>3</v>
      </c>
      <c r="I42" s="11">
        <v>3</v>
      </c>
      <c r="J42" s="123">
        <v>3</v>
      </c>
      <c r="K42" s="25">
        <v>12</v>
      </c>
      <c r="L42" s="11"/>
      <c r="M42" s="30"/>
      <c r="N42" s="30"/>
      <c r="O42" s="30"/>
      <c r="P42" s="30"/>
      <c r="Q42" s="22"/>
      <c r="R42" s="22"/>
      <c r="S42" s="22"/>
      <c r="T42" s="26">
        <v>0</v>
      </c>
      <c r="U42" s="26">
        <v>0</v>
      </c>
      <c r="V42" s="26">
        <v>15</v>
      </c>
      <c r="W42" s="26">
        <v>0</v>
      </c>
      <c r="X42" s="26">
        <v>12</v>
      </c>
      <c r="Y42" s="26">
        <v>0</v>
      </c>
      <c r="Z42" s="26">
        <v>0</v>
      </c>
      <c r="AA42" s="26">
        <v>0</v>
      </c>
      <c r="AB42" s="26">
        <v>0</v>
      </c>
      <c r="AC42" s="26">
        <v>0</v>
      </c>
    </row>
    <row r="43" spans="1:29">
      <c r="A43" s="23">
        <f>'ST-I'!A43</f>
        <v>235</v>
      </c>
      <c r="B43" s="115" t="str">
        <f>'ST-I'!B43</f>
        <v>SCT15CS035</v>
      </c>
      <c r="C43" s="24" t="str">
        <f>'ST-I'!C43</f>
        <v>KARTHIKA PRADEEP</v>
      </c>
      <c r="D43" s="6"/>
      <c r="E43" s="11"/>
      <c r="F43" s="123">
        <v>2</v>
      </c>
      <c r="G43" s="11">
        <v>3</v>
      </c>
      <c r="H43" s="123">
        <v>2</v>
      </c>
      <c r="I43" s="11">
        <v>3</v>
      </c>
      <c r="J43" s="123"/>
      <c r="K43" s="25">
        <v>11</v>
      </c>
      <c r="L43" s="11"/>
      <c r="M43" s="30"/>
      <c r="N43" s="30"/>
      <c r="O43" s="25"/>
      <c r="P43" s="25"/>
      <c r="Q43" s="22"/>
      <c r="R43" s="22"/>
      <c r="S43" s="22"/>
      <c r="T43" s="26">
        <v>0</v>
      </c>
      <c r="U43" s="26">
        <v>0</v>
      </c>
      <c r="V43" s="26">
        <v>15</v>
      </c>
      <c r="W43" s="26">
        <v>0</v>
      </c>
      <c r="X43" s="26">
        <v>6</v>
      </c>
      <c r="Y43" s="26">
        <v>0</v>
      </c>
      <c r="Z43" s="26">
        <v>0</v>
      </c>
      <c r="AA43" s="26">
        <v>0</v>
      </c>
      <c r="AB43" s="26">
        <v>0</v>
      </c>
      <c r="AC43" s="26">
        <v>0</v>
      </c>
    </row>
    <row r="44" spans="1:29">
      <c r="A44" s="23">
        <f>'ST-I'!A44</f>
        <v>236</v>
      </c>
      <c r="B44" s="115" t="str">
        <f>'ST-I'!B44</f>
        <v>SCT15CS036</v>
      </c>
      <c r="C44" s="24" t="str">
        <f>'ST-I'!C44</f>
        <v>KAVYA SHAJU</v>
      </c>
      <c r="D44" s="6"/>
      <c r="E44" s="11">
        <v>1</v>
      </c>
      <c r="F44" s="123">
        <v>3</v>
      </c>
      <c r="G44" s="11"/>
      <c r="H44" s="123">
        <v>2</v>
      </c>
      <c r="I44" s="11">
        <v>3</v>
      </c>
      <c r="J44" s="123">
        <v>3</v>
      </c>
      <c r="K44" s="40">
        <v>8</v>
      </c>
      <c r="L44" s="11"/>
      <c r="M44" s="30"/>
      <c r="N44" s="30"/>
      <c r="O44" s="25"/>
      <c r="P44" s="25"/>
      <c r="Q44" s="22"/>
      <c r="R44" s="22"/>
      <c r="S44" s="22"/>
      <c r="T44" s="26">
        <v>0</v>
      </c>
      <c r="U44" s="26">
        <v>0</v>
      </c>
      <c r="V44" s="26">
        <v>13</v>
      </c>
      <c r="W44" s="26">
        <v>0</v>
      </c>
      <c r="X44" s="26">
        <v>7</v>
      </c>
      <c r="Y44" s="26">
        <v>0</v>
      </c>
      <c r="Z44" s="26">
        <v>0</v>
      </c>
      <c r="AA44" s="26">
        <v>0</v>
      </c>
      <c r="AB44" s="26">
        <v>0</v>
      </c>
      <c r="AC44" s="26">
        <v>0</v>
      </c>
    </row>
    <row r="45" spans="1:29">
      <c r="A45" s="23">
        <f>'ST-I'!A45</f>
        <v>237</v>
      </c>
      <c r="B45" s="115" t="str">
        <f>'ST-I'!B45</f>
        <v>SCT15CS037</v>
      </c>
      <c r="C45" s="24" t="str">
        <f>'ST-I'!C45</f>
        <v>KRISHNA RAJ R</v>
      </c>
      <c r="D45" s="6"/>
      <c r="E45" s="11">
        <v>2</v>
      </c>
      <c r="F45" s="123">
        <v>2</v>
      </c>
      <c r="G45" s="11">
        <v>3</v>
      </c>
      <c r="H45" s="123">
        <v>1</v>
      </c>
      <c r="I45" s="11">
        <v>1</v>
      </c>
      <c r="J45" s="123">
        <v>9</v>
      </c>
      <c r="K45" s="25">
        <v>3</v>
      </c>
      <c r="L45" s="11"/>
      <c r="M45" s="30"/>
      <c r="N45" s="30"/>
      <c r="O45" s="25"/>
      <c r="P45" s="25"/>
      <c r="Q45" s="22"/>
      <c r="R45" s="22"/>
      <c r="S45" s="22"/>
      <c r="T45" s="26">
        <v>0</v>
      </c>
      <c r="U45" s="26">
        <v>0</v>
      </c>
      <c r="V45" s="26">
        <v>6</v>
      </c>
      <c r="W45" s="26">
        <v>0</v>
      </c>
      <c r="X45" s="26">
        <v>15</v>
      </c>
      <c r="Y45" s="26">
        <v>0</v>
      </c>
      <c r="Z45" s="26">
        <v>0</v>
      </c>
      <c r="AA45" s="26">
        <v>0</v>
      </c>
      <c r="AB45" s="26">
        <v>0</v>
      </c>
      <c r="AC45" s="26">
        <v>0</v>
      </c>
    </row>
    <row r="46" spans="1:29">
      <c r="A46" s="23">
        <f>'ST-I'!A46</f>
        <v>238</v>
      </c>
      <c r="B46" s="115" t="str">
        <f>'ST-I'!B46</f>
        <v>SCT15CS038</v>
      </c>
      <c r="C46" s="24" t="str">
        <f>'ST-I'!C46</f>
        <v>MAANASY P V</v>
      </c>
      <c r="D46" s="6"/>
      <c r="E46" s="11">
        <v>3</v>
      </c>
      <c r="F46" s="123">
        <v>3</v>
      </c>
      <c r="G46" s="11">
        <v>3</v>
      </c>
      <c r="H46" s="123">
        <v>3</v>
      </c>
      <c r="I46" s="11">
        <v>3</v>
      </c>
      <c r="J46" s="123">
        <v>3</v>
      </c>
      <c r="K46" s="25">
        <v>4</v>
      </c>
      <c r="L46" s="11"/>
      <c r="M46" s="30"/>
      <c r="N46" s="30"/>
      <c r="O46" s="25"/>
      <c r="P46" s="25"/>
      <c r="Q46" s="22"/>
      <c r="R46" s="22"/>
      <c r="S46" s="22"/>
      <c r="T46" s="26">
        <v>0</v>
      </c>
      <c r="U46" s="26">
        <v>0</v>
      </c>
      <c r="V46" s="26">
        <v>10</v>
      </c>
      <c r="W46" s="26">
        <v>0</v>
      </c>
      <c r="X46" s="26">
        <v>12</v>
      </c>
      <c r="Y46" s="26">
        <v>0</v>
      </c>
      <c r="Z46" s="26">
        <v>0</v>
      </c>
      <c r="AA46" s="26">
        <v>0</v>
      </c>
      <c r="AB46" s="26">
        <v>0</v>
      </c>
      <c r="AC46" s="26">
        <v>0</v>
      </c>
    </row>
    <row r="47" spans="1:29">
      <c r="A47" s="23">
        <f>'ST-I'!A47</f>
        <v>239</v>
      </c>
      <c r="B47" s="115" t="str">
        <f>'ST-I'!B47</f>
        <v>SCT15CS039</v>
      </c>
      <c r="C47" s="24" t="str">
        <f>'ST-I'!C47</f>
        <v>MIDHUNA VIJAYAKUMAR</v>
      </c>
      <c r="D47" s="6"/>
      <c r="E47" s="11"/>
      <c r="F47" s="123">
        <v>3</v>
      </c>
      <c r="G47" s="11">
        <v>3</v>
      </c>
      <c r="H47" s="123">
        <v>3</v>
      </c>
      <c r="I47" s="11">
        <v>3</v>
      </c>
      <c r="J47" s="123">
        <v>2</v>
      </c>
      <c r="K47" s="25">
        <v>3</v>
      </c>
      <c r="L47" s="11"/>
      <c r="M47" s="30"/>
      <c r="N47" s="30"/>
      <c r="O47" s="25"/>
      <c r="P47" s="25"/>
      <c r="Q47" s="22"/>
      <c r="R47" s="22"/>
      <c r="S47" s="22"/>
      <c r="T47" s="26">
        <v>0</v>
      </c>
      <c r="U47" s="26">
        <v>0</v>
      </c>
      <c r="V47" s="26">
        <v>9</v>
      </c>
      <c r="W47" s="26">
        <v>0</v>
      </c>
      <c r="X47" s="26">
        <v>8</v>
      </c>
      <c r="Y47" s="26">
        <v>0</v>
      </c>
      <c r="Z47" s="26">
        <v>0</v>
      </c>
      <c r="AA47" s="26">
        <v>0</v>
      </c>
      <c r="AB47" s="26">
        <v>0</v>
      </c>
      <c r="AC47" s="26">
        <v>0</v>
      </c>
    </row>
    <row r="48" spans="1:29">
      <c r="A48" s="23">
        <f>'ST-I'!A48</f>
        <v>240</v>
      </c>
      <c r="B48" s="115" t="str">
        <f>'ST-I'!B48</f>
        <v>SCT15CS040</v>
      </c>
      <c r="C48" s="24" t="str">
        <f>'ST-I'!C48</f>
        <v>MUHAMMAD T S</v>
      </c>
      <c r="D48" s="6"/>
      <c r="E48" s="11">
        <v>3</v>
      </c>
      <c r="F48" s="123">
        <v>3</v>
      </c>
      <c r="G48" s="11">
        <v>3</v>
      </c>
      <c r="H48" s="123">
        <v>3</v>
      </c>
      <c r="I48" s="11">
        <v>3</v>
      </c>
      <c r="J48" s="123">
        <v>3</v>
      </c>
      <c r="K48" s="25">
        <v>12</v>
      </c>
      <c r="L48" s="11"/>
      <c r="M48" s="30"/>
      <c r="N48" s="30"/>
      <c r="O48" s="25"/>
      <c r="P48" s="25"/>
      <c r="Q48" s="22"/>
      <c r="R48" s="22"/>
      <c r="S48" s="22"/>
      <c r="T48" s="26">
        <v>0</v>
      </c>
      <c r="U48" s="26">
        <v>0</v>
      </c>
      <c r="V48" s="26">
        <v>18</v>
      </c>
      <c r="W48" s="26">
        <v>0</v>
      </c>
      <c r="X48" s="26">
        <v>12</v>
      </c>
      <c r="Y48" s="26">
        <v>0</v>
      </c>
      <c r="Z48" s="26">
        <v>0</v>
      </c>
      <c r="AA48" s="26">
        <v>0</v>
      </c>
      <c r="AB48" s="26">
        <v>0</v>
      </c>
      <c r="AC48" s="26">
        <v>0</v>
      </c>
    </row>
    <row r="49" spans="1:29">
      <c r="A49" s="23">
        <f>'ST-I'!A49</f>
        <v>241</v>
      </c>
      <c r="B49" s="115" t="str">
        <f>'ST-I'!B49</f>
        <v>SCT15CS041</v>
      </c>
      <c r="C49" s="24" t="str">
        <f>'ST-I'!C49</f>
        <v>NEVIN BAIJU</v>
      </c>
      <c r="D49" s="6"/>
      <c r="E49" s="11">
        <v>3</v>
      </c>
      <c r="F49" s="123">
        <v>3</v>
      </c>
      <c r="G49" s="11">
        <v>3</v>
      </c>
      <c r="H49" s="123">
        <v>3</v>
      </c>
      <c r="I49" s="11">
        <v>3</v>
      </c>
      <c r="J49" s="123">
        <v>4</v>
      </c>
      <c r="K49" s="25">
        <v>14</v>
      </c>
      <c r="L49" s="11"/>
      <c r="M49" s="30"/>
      <c r="N49" s="30"/>
      <c r="O49" s="25"/>
      <c r="P49" s="25"/>
      <c r="Q49" s="22"/>
      <c r="R49" s="22"/>
      <c r="S49" s="22"/>
      <c r="T49" s="26">
        <v>0</v>
      </c>
      <c r="U49" s="26">
        <v>0</v>
      </c>
      <c r="V49" s="26">
        <v>20</v>
      </c>
      <c r="W49" s="26">
        <v>0</v>
      </c>
      <c r="X49" s="26">
        <v>13</v>
      </c>
      <c r="Y49" s="26">
        <v>0</v>
      </c>
      <c r="Z49" s="26">
        <v>0</v>
      </c>
      <c r="AA49" s="26">
        <v>0</v>
      </c>
      <c r="AB49" s="26">
        <v>0</v>
      </c>
      <c r="AC49" s="26">
        <v>0</v>
      </c>
    </row>
    <row r="50" spans="1:29">
      <c r="A50" s="23">
        <f>'ST-I'!A50</f>
        <v>242</v>
      </c>
      <c r="B50" s="115" t="str">
        <f>'ST-I'!B50</f>
        <v>SCT15CS042</v>
      </c>
      <c r="C50" s="24" t="str">
        <f>'ST-I'!C50</f>
        <v>NIRANJANA MADHAVAN THAMPI</v>
      </c>
      <c r="D50" s="6"/>
      <c r="E50" s="11"/>
      <c r="F50" s="123">
        <v>3</v>
      </c>
      <c r="G50" s="11">
        <v>3</v>
      </c>
      <c r="H50" s="123">
        <v>3</v>
      </c>
      <c r="I50" s="11">
        <v>3</v>
      </c>
      <c r="J50" s="123"/>
      <c r="K50" s="25">
        <v>9</v>
      </c>
      <c r="L50" s="11"/>
      <c r="M50" s="30"/>
      <c r="N50" s="30"/>
      <c r="O50" s="25"/>
      <c r="P50" s="25"/>
      <c r="Q50" s="22"/>
      <c r="R50" s="22"/>
      <c r="S50" s="22"/>
      <c r="T50" s="26">
        <v>0</v>
      </c>
      <c r="U50" s="26">
        <v>0</v>
      </c>
      <c r="V50" s="26">
        <v>15</v>
      </c>
      <c r="W50" s="26">
        <v>0</v>
      </c>
      <c r="X50" s="26">
        <v>6</v>
      </c>
      <c r="Y50" s="26">
        <v>0</v>
      </c>
      <c r="Z50" s="26">
        <v>0</v>
      </c>
      <c r="AA50" s="26">
        <v>0</v>
      </c>
      <c r="AB50" s="26">
        <v>0</v>
      </c>
      <c r="AC50" s="26">
        <v>0</v>
      </c>
    </row>
    <row r="51" spans="1:29">
      <c r="A51" s="23">
        <f>'ST-I'!A51</f>
        <v>243</v>
      </c>
      <c r="B51" s="115" t="str">
        <f>'ST-I'!B51</f>
        <v>SCT15CS043</v>
      </c>
      <c r="C51" s="24" t="str">
        <f>'ST-I'!C51</f>
        <v>PRASEETHA KRISHNA J</v>
      </c>
      <c r="D51" s="6"/>
      <c r="E51" s="11"/>
      <c r="F51" s="123">
        <v>3</v>
      </c>
      <c r="G51" s="11">
        <v>3</v>
      </c>
      <c r="H51" s="123">
        <v>3</v>
      </c>
      <c r="I51" s="11">
        <v>0.5</v>
      </c>
      <c r="J51" s="123">
        <v>3</v>
      </c>
      <c r="K51" s="25">
        <v>4</v>
      </c>
      <c r="L51" s="11"/>
      <c r="M51" s="30"/>
      <c r="N51" s="30"/>
      <c r="O51" s="25"/>
      <c r="P51" s="25"/>
      <c r="Q51" s="22"/>
      <c r="R51" s="22"/>
      <c r="S51" s="22"/>
      <c r="T51" s="26">
        <v>0</v>
      </c>
      <c r="U51" s="26">
        <v>0</v>
      </c>
      <c r="V51" s="26">
        <v>10</v>
      </c>
      <c r="W51" s="26">
        <v>0</v>
      </c>
      <c r="X51" s="26">
        <v>6.5</v>
      </c>
      <c r="Y51" s="26">
        <v>0</v>
      </c>
      <c r="Z51" s="26">
        <v>0</v>
      </c>
      <c r="AA51" s="26">
        <v>0</v>
      </c>
      <c r="AB51" s="26">
        <v>0</v>
      </c>
      <c r="AC51" s="26">
        <v>0</v>
      </c>
    </row>
    <row r="52" spans="1:29">
      <c r="A52" s="23">
        <f>'ST-I'!A52</f>
        <v>244</v>
      </c>
      <c r="B52" s="115" t="str">
        <f>'ST-I'!B52</f>
        <v>SCT15CS044</v>
      </c>
      <c r="C52" s="24" t="str">
        <f>'ST-I'!C52</f>
        <v>PRIYANKA GOVIND C V</v>
      </c>
      <c r="D52" s="6"/>
      <c r="E52" s="11">
        <v>3</v>
      </c>
      <c r="F52" s="123">
        <v>2</v>
      </c>
      <c r="G52" s="11">
        <v>3</v>
      </c>
      <c r="H52" s="123">
        <v>3</v>
      </c>
      <c r="I52" s="11">
        <v>3</v>
      </c>
      <c r="J52" s="123">
        <v>3</v>
      </c>
      <c r="K52" s="25">
        <v>13</v>
      </c>
      <c r="L52" s="11"/>
      <c r="M52" s="30"/>
      <c r="N52" s="30"/>
      <c r="O52" s="25"/>
      <c r="P52" s="25"/>
      <c r="Q52" s="22"/>
      <c r="R52" s="22"/>
      <c r="S52" s="22"/>
      <c r="T52" s="26">
        <v>0</v>
      </c>
      <c r="U52" s="26">
        <v>0</v>
      </c>
      <c r="V52" s="26">
        <v>18</v>
      </c>
      <c r="W52" s="26">
        <v>0</v>
      </c>
      <c r="X52" s="26">
        <v>12</v>
      </c>
      <c r="Y52" s="26">
        <v>0</v>
      </c>
      <c r="Z52" s="26">
        <v>0</v>
      </c>
      <c r="AA52" s="26">
        <v>0</v>
      </c>
      <c r="AB52" s="26">
        <v>0</v>
      </c>
      <c r="AC52" s="26">
        <v>0</v>
      </c>
    </row>
    <row r="53" spans="1:29">
      <c r="A53" s="23">
        <f>'ST-I'!A53</f>
        <v>245</v>
      </c>
      <c r="B53" s="115" t="str">
        <f>'ST-I'!B53</f>
        <v>SCT15CS045</v>
      </c>
      <c r="C53" s="24" t="str">
        <f>'ST-I'!C53</f>
        <v>R SREELAKSHMI</v>
      </c>
      <c r="D53" s="6"/>
      <c r="E53" s="11">
        <v>3</v>
      </c>
      <c r="F53" s="123">
        <v>3</v>
      </c>
      <c r="G53" s="11">
        <v>3</v>
      </c>
      <c r="H53" s="123">
        <v>3</v>
      </c>
      <c r="I53" s="11">
        <v>1</v>
      </c>
      <c r="J53" s="123">
        <v>5</v>
      </c>
      <c r="K53" s="25">
        <v>15</v>
      </c>
      <c r="L53" s="11"/>
      <c r="M53" s="30"/>
      <c r="N53" s="30"/>
      <c r="O53" s="25"/>
      <c r="P53" s="25"/>
      <c r="Q53" s="22"/>
      <c r="R53" s="22"/>
      <c r="S53" s="22"/>
      <c r="T53" s="26">
        <v>0</v>
      </c>
      <c r="U53" s="26">
        <v>0</v>
      </c>
      <c r="V53" s="26">
        <v>21</v>
      </c>
      <c r="W53" s="26">
        <v>0</v>
      </c>
      <c r="X53" s="26">
        <v>12</v>
      </c>
      <c r="Y53" s="26">
        <v>0</v>
      </c>
      <c r="Z53" s="26">
        <v>0</v>
      </c>
      <c r="AA53" s="26">
        <v>0</v>
      </c>
      <c r="AB53" s="26">
        <v>0</v>
      </c>
      <c r="AC53" s="26">
        <v>0</v>
      </c>
    </row>
    <row r="54" spans="1:29">
      <c r="A54" s="23">
        <f>'ST-I'!A54</f>
        <v>246</v>
      </c>
      <c r="B54" s="115" t="str">
        <f>'ST-I'!B54</f>
        <v>SCT15CS046</v>
      </c>
      <c r="C54" s="24" t="str">
        <f>'ST-I'!C54</f>
        <v>RAFIYA RAJESH S R</v>
      </c>
      <c r="D54" s="6"/>
      <c r="E54" s="11"/>
      <c r="F54" s="123"/>
      <c r="G54" s="11"/>
      <c r="H54" s="123"/>
      <c r="I54" s="11"/>
      <c r="J54" s="123"/>
      <c r="K54" s="25"/>
      <c r="L54" s="11"/>
      <c r="M54" s="30"/>
      <c r="N54" s="30"/>
      <c r="O54" s="25"/>
      <c r="P54" s="25"/>
      <c r="Q54" s="22"/>
      <c r="R54" s="22"/>
      <c r="S54" s="22"/>
      <c r="T54" s="26">
        <v>0</v>
      </c>
      <c r="U54" s="26">
        <v>0</v>
      </c>
      <c r="V54" s="26">
        <v>0</v>
      </c>
      <c r="W54" s="26">
        <v>0</v>
      </c>
      <c r="X54" s="26">
        <v>0</v>
      </c>
      <c r="Y54" s="26">
        <v>0</v>
      </c>
      <c r="Z54" s="26">
        <v>0</v>
      </c>
      <c r="AA54" s="26">
        <v>0</v>
      </c>
      <c r="AB54" s="26">
        <v>0</v>
      </c>
      <c r="AC54" s="26">
        <v>0</v>
      </c>
    </row>
    <row r="55" spans="1:29">
      <c r="A55" s="23">
        <f>'ST-I'!A55</f>
        <v>247</v>
      </c>
      <c r="B55" s="115" t="str">
        <f>'ST-I'!B55</f>
        <v>SCT15CS047</v>
      </c>
      <c r="C55" s="24" t="str">
        <f>'ST-I'!C55</f>
        <v>RAHUL S</v>
      </c>
      <c r="D55" s="6"/>
      <c r="E55" s="11"/>
      <c r="F55" s="123"/>
      <c r="G55" s="11"/>
      <c r="H55" s="123"/>
      <c r="I55" s="11"/>
      <c r="J55" s="123"/>
      <c r="K55" s="25"/>
      <c r="L55" s="11"/>
      <c r="M55" s="30"/>
      <c r="N55" s="30"/>
      <c r="O55" s="25"/>
      <c r="P55" s="25"/>
      <c r="Q55" s="22"/>
      <c r="R55" s="22"/>
      <c r="S55" s="22"/>
      <c r="T55" s="26">
        <v>0</v>
      </c>
      <c r="U55" s="26">
        <v>0</v>
      </c>
      <c r="V55" s="26">
        <v>0</v>
      </c>
      <c r="W55" s="26">
        <v>0</v>
      </c>
      <c r="X55" s="26">
        <v>0</v>
      </c>
      <c r="Y55" s="26">
        <v>0</v>
      </c>
      <c r="Z55" s="26">
        <v>0</v>
      </c>
      <c r="AA55" s="26">
        <v>0</v>
      </c>
      <c r="AB55" s="26">
        <v>0</v>
      </c>
      <c r="AC55" s="26">
        <v>0</v>
      </c>
    </row>
    <row r="56" spans="1:29">
      <c r="A56" s="23">
        <f>'ST-I'!A56</f>
        <v>248</v>
      </c>
      <c r="B56" s="115" t="str">
        <f>'ST-I'!B56</f>
        <v>SCT15CS048</v>
      </c>
      <c r="C56" s="24" t="str">
        <f>'ST-I'!C56</f>
        <v>RAKESH P</v>
      </c>
      <c r="D56" s="6"/>
      <c r="E56" s="11">
        <v>3</v>
      </c>
      <c r="F56" s="123">
        <v>2</v>
      </c>
      <c r="G56" s="11">
        <v>3</v>
      </c>
      <c r="H56" s="123">
        <v>1</v>
      </c>
      <c r="I56" s="11">
        <v>3</v>
      </c>
      <c r="J56" s="123">
        <v>2</v>
      </c>
      <c r="K56" s="25">
        <v>15</v>
      </c>
      <c r="L56" s="11"/>
      <c r="M56" s="30"/>
      <c r="N56" s="30"/>
      <c r="O56" s="25"/>
      <c r="P56" s="25"/>
      <c r="Q56" s="22"/>
      <c r="R56" s="22"/>
      <c r="S56" s="22"/>
      <c r="T56" s="26">
        <v>0</v>
      </c>
      <c r="U56" s="26">
        <v>0</v>
      </c>
      <c r="V56" s="26">
        <v>18</v>
      </c>
      <c r="W56" s="26">
        <v>0</v>
      </c>
      <c r="X56" s="26">
        <v>11</v>
      </c>
      <c r="Y56" s="26">
        <v>0</v>
      </c>
      <c r="Z56" s="26">
        <v>0</v>
      </c>
      <c r="AA56" s="26">
        <v>0</v>
      </c>
      <c r="AB56" s="26">
        <v>0</v>
      </c>
      <c r="AC56" s="26">
        <v>0</v>
      </c>
    </row>
    <row r="57" spans="1:29">
      <c r="A57" s="23">
        <f>'ST-I'!A57</f>
        <v>249</v>
      </c>
      <c r="B57" s="115" t="str">
        <f>'ST-I'!B57</f>
        <v>SCT15CS049</v>
      </c>
      <c r="C57" s="24" t="str">
        <f>'ST-I'!C57</f>
        <v>S SACHIN</v>
      </c>
      <c r="D57" s="6"/>
      <c r="E57" s="11">
        <v>3</v>
      </c>
      <c r="F57" s="123">
        <v>1</v>
      </c>
      <c r="G57" s="11">
        <v>3</v>
      </c>
      <c r="H57" s="123">
        <v>2</v>
      </c>
      <c r="I57" s="11">
        <v>3</v>
      </c>
      <c r="J57" s="123">
        <v>2</v>
      </c>
      <c r="K57" s="25">
        <v>15</v>
      </c>
      <c r="L57" s="11"/>
      <c r="M57" s="30"/>
      <c r="N57" s="30"/>
      <c r="O57" s="25"/>
      <c r="P57" s="25"/>
      <c r="Q57" s="22"/>
      <c r="R57" s="22"/>
      <c r="S57" s="22"/>
      <c r="T57" s="26">
        <v>0</v>
      </c>
      <c r="U57" s="26">
        <v>0</v>
      </c>
      <c r="V57" s="26">
        <v>18</v>
      </c>
      <c r="W57" s="26">
        <v>0</v>
      </c>
      <c r="X57" s="26">
        <v>11</v>
      </c>
      <c r="Y57" s="26">
        <v>0</v>
      </c>
      <c r="Z57" s="26">
        <v>0</v>
      </c>
      <c r="AA57" s="26">
        <v>0</v>
      </c>
      <c r="AB57" s="26">
        <v>0</v>
      </c>
      <c r="AC57" s="26">
        <v>0</v>
      </c>
    </row>
    <row r="58" spans="1:29">
      <c r="A58" s="23">
        <f>'ST-I'!A58</f>
        <v>250</v>
      </c>
      <c r="B58" s="115" t="str">
        <f>'ST-I'!B58</f>
        <v>SCT15CS050</v>
      </c>
      <c r="C58" s="24" t="str">
        <f>'ST-I'!C58</f>
        <v>S VIJAY VENKATESH</v>
      </c>
      <c r="D58" s="6"/>
      <c r="E58" s="11">
        <v>3</v>
      </c>
      <c r="F58" s="123">
        <v>2</v>
      </c>
      <c r="G58" s="11">
        <v>3</v>
      </c>
      <c r="H58" s="123">
        <v>2</v>
      </c>
      <c r="I58" s="11">
        <v>3</v>
      </c>
      <c r="J58" s="123">
        <v>7</v>
      </c>
      <c r="K58" s="25">
        <v>10</v>
      </c>
      <c r="L58" s="11"/>
      <c r="M58" s="30"/>
      <c r="N58" s="30"/>
      <c r="O58" s="25"/>
      <c r="P58" s="25"/>
      <c r="Q58" s="22"/>
      <c r="R58" s="22"/>
      <c r="S58" s="22"/>
      <c r="T58" s="26">
        <v>0</v>
      </c>
      <c r="U58" s="26">
        <v>0</v>
      </c>
      <c r="V58" s="26">
        <v>14</v>
      </c>
      <c r="W58" s="26">
        <v>0</v>
      </c>
      <c r="X58" s="26">
        <v>16</v>
      </c>
      <c r="Y58" s="26">
        <v>0</v>
      </c>
      <c r="Z58" s="26">
        <v>0</v>
      </c>
      <c r="AA58" s="26">
        <v>0</v>
      </c>
      <c r="AB58" s="26">
        <v>0</v>
      </c>
      <c r="AC58" s="26">
        <v>0</v>
      </c>
    </row>
    <row r="59" spans="1:29">
      <c r="A59" s="23">
        <f>'ST-I'!A59</f>
        <v>251</v>
      </c>
      <c r="B59" s="115" t="str">
        <f>'ST-I'!B59</f>
        <v>SCT15CS051</v>
      </c>
      <c r="C59" s="24" t="str">
        <f>'ST-I'!C59</f>
        <v>SAGAR ASHOK</v>
      </c>
      <c r="D59" s="6"/>
      <c r="E59" s="11">
        <v>3</v>
      </c>
      <c r="F59" s="123">
        <v>3</v>
      </c>
      <c r="G59" s="11">
        <v>1</v>
      </c>
      <c r="H59" s="123">
        <v>3</v>
      </c>
      <c r="I59" s="11"/>
      <c r="J59" s="123"/>
      <c r="K59" s="25">
        <v>9</v>
      </c>
      <c r="L59" s="11"/>
      <c r="M59" s="30"/>
      <c r="N59" s="30"/>
      <c r="O59" s="25"/>
      <c r="P59" s="25"/>
      <c r="Q59" s="22"/>
      <c r="R59" s="22"/>
      <c r="S59" s="22"/>
      <c r="T59" s="26">
        <v>0</v>
      </c>
      <c r="U59" s="26">
        <v>0</v>
      </c>
      <c r="V59" s="26">
        <v>15</v>
      </c>
      <c r="W59" s="26">
        <v>0</v>
      </c>
      <c r="X59" s="26">
        <v>4</v>
      </c>
      <c r="Y59" s="26">
        <v>0</v>
      </c>
      <c r="Z59" s="26">
        <v>0</v>
      </c>
      <c r="AA59" s="26">
        <v>0</v>
      </c>
      <c r="AB59" s="26">
        <v>0</v>
      </c>
      <c r="AC59" s="26">
        <v>0</v>
      </c>
    </row>
    <row r="60" spans="1:29">
      <c r="A60" s="23">
        <f>'ST-I'!A60</f>
        <v>252</v>
      </c>
      <c r="B60" s="115" t="str">
        <f>'ST-I'!B60</f>
        <v>SCT15CS052</v>
      </c>
      <c r="C60" s="24" t="str">
        <f>'ST-I'!C60</f>
        <v>SHEHAZ SHEFY</v>
      </c>
      <c r="D60" s="6"/>
      <c r="E60" s="11"/>
      <c r="F60" s="123">
        <v>3</v>
      </c>
      <c r="G60" s="11">
        <v>3</v>
      </c>
      <c r="H60" s="123">
        <v>2</v>
      </c>
      <c r="I60" s="11">
        <v>3</v>
      </c>
      <c r="J60" s="123">
        <v>3</v>
      </c>
      <c r="K60" s="25">
        <v>11</v>
      </c>
      <c r="L60" s="11"/>
      <c r="M60" s="30"/>
      <c r="N60" s="30"/>
      <c r="O60" s="30"/>
      <c r="P60" s="30"/>
      <c r="Q60" s="22"/>
      <c r="R60" s="22"/>
      <c r="S60" s="22"/>
      <c r="T60" s="26">
        <v>0</v>
      </c>
      <c r="U60" s="26">
        <v>0</v>
      </c>
      <c r="V60" s="26">
        <v>16</v>
      </c>
      <c r="W60" s="26">
        <v>0</v>
      </c>
      <c r="X60" s="26">
        <v>9</v>
      </c>
      <c r="Y60" s="26">
        <v>0</v>
      </c>
      <c r="Z60" s="26">
        <v>0</v>
      </c>
      <c r="AA60" s="26">
        <v>0</v>
      </c>
      <c r="AB60" s="26">
        <v>0</v>
      </c>
      <c r="AC60" s="26">
        <v>0</v>
      </c>
    </row>
    <row r="61" spans="1:29">
      <c r="A61" s="23">
        <f>'ST-I'!A61</f>
        <v>253</v>
      </c>
      <c r="B61" s="115" t="str">
        <f>'ST-I'!B61</f>
        <v>SCT15CS053</v>
      </c>
      <c r="C61" s="24" t="str">
        <f>'ST-I'!C61</f>
        <v>SHIBIN B SHAJI</v>
      </c>
      <c r="D61" s="6"/>
      <c r="E61" s="11"/>
      <c r="F61" s="123">
        <v>0.5</v>
      </c>
      <c r="G61" s="11">
        <v>3</v>
      </c>
      <c r="H61" s="123">
        <v>0.5</v>
      </c>
      <c r="I61" s="11">
        <v>0.5</v>
      </c>
      <c r="J61" s="123"/>
      <c r="K61" s="25">
        <v>7</v>
      </c>
      <c r="L61" s="11"/>
      <c r="M61" s="30"/>
      <c r="N61" s="30"/>
      <c r="O61" s="25"/>
      <c r="P61" s="25"/>
      <c r="Q61" s="22"/>
      <c r="R61" s="22"/>
      <c r="S61" s="22"/>
      <c r="T61" s="26">
        <v>0</v>
      </c>
      <c r="U61" s="26">
        <v>0</v>
      </c>
      <c r="V61" s="26">
        <v>8</v>
      </c>
      <c r="W61" s="26">
        <v>0</v>
      </c>
      <c r="X61" s="26">
        <v>3.5</v>
      </c>
      <c r="Y61" s="26">
        <v>0</v>
      </c>
      <c r="Z61" s="26">
        <v>0</v>
      </c>
      <c r="AA61" s="26">
        <v>0</v>
      </c>
      <c r="AB61" s="26">
        <v>0</v>
      </c>
      <c r="AC61" s="26">
        <v>0</v>
      </c>
    </row>
    <row r="62" spans="1:29">
      <c r="A62" s="23">
        <f>'ST-I'!A62</f>
        <v>254</v>
      </c>
      <c r="B62" s="115" t="str">
        <f>'ST-I'!B62</f>
        <v>SCT15CS054</v>
      </c>
      <c r="C62" s="24" t="str">
        <f>'ST-I'!C62</f>
        <v>SHRADHA MARIAM SANTHOSH</v>
      </c>
      <c r="D62" s="6"/>
      <c r="E62" s="11">
        <v>3</v>
      </c>
      <c r="F62" s="123">
        <v>3</v>
      </c>
      <c r="G62" s="11">
        <v>3</v>
      </c>
      <c r="H62" s="123">
        <v>3</v>
      </c>
      <c r="I62" s="11">
        <v>3</v>
      </c>
      <c r="J62" s="123">
        <v>10</v>
      </c>
      <c r="K62" s="25">
        <v>15</v>
      </c>
      <c r="L62" s="11"/>
      <c r="M62" s="30"/>
      <c r="N62" s="30"/>
      <c r="O62" s="25"/>
      <c r="P62" s="25"/>
      <c r="Q62" s="22"/>
      <c r="R62" s="22"/>
      <c r="S62" s="22"/>
      <c r="T62" s="26">
        <v>0</v>
      </c>
      <c r="U62" s="26">
        <v>0</v>
      </c>
      <c r="V62" s="26">
        <v>21</v>
      </c>
      <c r="W62" s="26">
        <v>0</v>
      </c>
      <c r="X62" s="26">
        <v>19</v>
      </c>
      <c r="Y62" s="26">
        <v>0</v>
      </c>
      <c r="Z62" s="26">
        <v>0</v>
      </c>
      <c r="AA62" s="26">
        <v>0</v>
      </c>
      <c r="AB62" s="26">
        <v>0</v>
      </c>
      <c r="AC62" s="26">
        <v>0</v>
      </c>
    </row>
    <row r="63" spans="1:29">
      <c r="A63" s="23">
        <f>'ST-I'!A63</f>
        <v>255</v>
      </c>
      <c r="B63" s="115" t="str">
        <f>'ST-I'!B63</f>
        <v>SCT15CS055</v>
      </c>
      <c r="C63" s="24" t="str">
        <f>'ST-I'!C63</f>
        <v>SIBI KOSHY</v>
      </c>
      <c r="D63" s="6"/>
      <c r="E63" s="11">
        <v>3</v>
      </c>
      <c r="F63" s="123">
        <v>3</v>
      </c>
      <c r="G63" s="11">
        <v>3</v>
      </c>
      <c r="H63" s="123">
        <v>2</v>
      </c>
      <c r="I63" s="11">
        <v>3</v>
      </c>
      <c r="J63" s="123">
        <v>3</v>
      </c>
      <c r="K63" s="25">
        <v>10</v>
      </c>
      <c r="L63" s="11"/>
      <c r="M63" s="30"/>
      <c r="N63" s="30"/>
      <c r="O63" s="25"/>
      <c r="P63" s="25"/>
      <c r="Q63" s="22"/>
      <c r="R63" s="22"/>
      <c r="S63" s="22"/>
      <c r="T63" s="26">
        <v>0</v>
      </c>
      <c r="U63" s="26">
        <v>0</v>
      </c>
      <c r="V63" s="26">
        <v>15</v>
      </c>
      <c r="W63" s="26">
        <v>0</v>
      </c>
      <c r="X63" s="26">
        <v>12</v>
      </c>
      <c r="Y63" s="26">
        <v>0</v>
      </c>
      <c r="Z63" s="26">
        <v>0</v>
      </c>
      <c r="AA63" s="26">
        <v>0</v>
      </c>
      <c r="AB63" s="26">
        <v>0</v>
      </c>
      <c r="AC63" s="26">
        <v>0</v>
      </c>
    </row>
    <row r="64" spans="1:29">
      <c r="A64" s="23">
        <f>'ST-I'!A64</f>
        <v>256</v>
      </c>
      <c r="B64" s="115" t="str">
        <f>'ST-I'!B64</f>
        <v>SCT15CS056</v>
      </c>
      <c r="C64" s="24" t="str">
        <f>'ST-I'!C64</f>
        <v>SIVAKRISHNAN S K</v>
      </c>
      <c r="D64" s="6"/>
      <c r="E64" s="11">
        <v>3</v>
      </c>
      <c r="F64" s="123">
        <v>2</v>
      </c>
      <c r="G64" s="11">
        <v>1</v>
      </c>
      <c r="H64" s="123">
        <v>2</v>
      </c>
      <c r="I64" s="11">
        <v>3</v>
      </c>
      <c r="J64" s="123">
        <v>2</v>
      </c>
      <c r="K64" s="25">
        <v>9</v>
      </c>
      <c r="L64" s="11"/>
      <c r="M64" s="30"/>
      <c r="N64" s="30"/>
      <c r="O64" s="30"/>
      <c r="P64" s="30"/>
      <c r="Q64" s="22"/>
      <c r="R64" s="22"/>
      <c r="S64" s="22"/>
      <c r="T64" s="26">
        <v>0</v>
      </c>
      <c r="U64" s="26">
        <v>0</v>
      </c>
      <c r="V64" s="26">
        <v>13</v>
      </c>
      <c r="W64" s="26">
        <v>0</v>
      </c>
      <c r="X64" s="26">
        <v>9</v>
      </c>
      <c r="Y64" s="26">
        <v>0</v>
      </c>
      <c r="Z64" s="26">
        <v>0</v>
      </c>
      <c r="AA64" s="26">
        <v>0</v>
      </c>
      <c r="AB64" s="26">
        <v>0</v>
      </c>
      <c r="AC64" s="26">
        <v>0</v>
      </c>
    </row>
    <row r="65" spans="1:29">
      <c r="A65" s="23">
        <f>'ST-I'!A65</f>
        <v>257</v>
      </c>
      <c r="B65" s="115" t="str">
        <f>'ST-I'!B65</f>
        <v>SCT15CS057</v>
      </c>
      <c r="C65" s="24" t="str">
        <f>'ST-I'!C65</f>
        <v>SREEDEV S B</v>
      </c>
      <c r="D65" s="6"/>
      <c r="E65" s="11">
        <v>3</v>
      </c>
      <c r="F65" s="123">
        <v>0.5</v>
      </c>
      <c r="G65" s="11">
        <v>3</v>
      </c>
      <c r="H65" s="123">
        <v>2</v>
      </c>
      <c r="I65" s="11">
        <v>3</v>
      </c>
      <c r="J65" s="123">
        <v>3</v>
      </c>
      <c r="K65" s="25">
        <v>7</v>
      </c>
      <c r="L65" s="11"/>
      <c r="M65" s="30"/>
      <c r="N65" s="30"/>
      <c r="O65" s="25"/>
      <c r="P65" s="25"/>
      <c r="Q65" s="22"/>
      <c r="R65" s="22"/>
      <c r="S65" s="22"/>
      <c r="T65" s="26">
        <v>0</v>
      </c>
      <c r="U65" s="26">
        <v>0</v>
      </c>
      <c r="V65" s="26">
        <v>9.5</v>
      </c>
      <c r="W65" s="26">
        <v>0</v>
      </c>
      <c r="X65" s="26">
        <v>12</v>
      </c>
      <c r="Y65" s="26">
        <v>0</v>
      </c>
      <c r="Z65" s="26">
        <v>0</v>
      </c>
      <c r="AA65" s="26">
        <v>0</v>
      </c>
      <c r="AB65" s="26">
        <v>0</v>
      </c>
      <c r="AC65" s="26">
        <v>0</v>
      </c>
    </row>
    <row r="66" spans="1:29">
      <c r="A66" s="23">
        <f>'ST-I'!A66</f>
        <v>258</v>
      </c>
      <c r="B66" s="115" t="str">
        <f>'ST-I'!B66</f>
        <v>SCT15CS058</v>
      </c>
      <c r="C66" s="24">
        <f>'ST-I'!C66</f>
        <v>0</v>
      </c>
      <c r="D66" s="6"/>
      <c r="E66" s="11"/>
      <c r="F66" s="123"/>
      <c r="G66" s="11"/>
      <c r="H66" s="123"/>
      <c r="I66" s="11"/>
      <c r="J66" s="123"/>
      <c r="K66" s="25"/>
      <c r="L66" s="11"/>
      <c r="M66" s="30"/>
      <c r="N66" s="30"/>
      <c r="O66" s="30"/>
      <c r="P66" s="30"/>
      <c r="Q66" s="22"/>
      <c r="R66" s="22"/>
      <c r="S66" s="22"/>
      <c r="T66" s="26">
        <v>0</v>
      </c>
      <c r="U66" s="26">
        <v>0</v>
      </c>
      <c r="V66" s="26">
        <v>0</v>
      </c>
      <c r="W66" s="26">
        <v>0</v>
      </c>
      <c r="X66" s="26">
        <v>0</v>
      </c>
      <c r="Y66" s="26">
        <v>0</v>
      </c>
      <c r="Z66" s="26">
        <v>0</v>
      </c>
      <c r="AA66" s="26">
        <v>0</v>
      </c>
      <c r="AB66" s="26">
        <v>0</v>
      </c>
      <c r="AC66" s="26">
        <v>0</v>
      </c>
    </row>
    <row r="67" spans="1:29">
      <c r="A67" s="23">
        <f>'ST-I'!A67</f>
        <v>259</v>
      </c>
      <c r="B67" s="115" t="str">
        <f>'ST-I'!B67</f>
        <v>SCT15CS059</v>
      </c>
      <c r="C67" s="24" t="str">
        <f>'ST-I'!C67</f>
        <v>TASNEEM ABDULKADER SHAJILABEEVI</v>
      </c>
      <c r="D67" s="6"/>
      <c r="E67" s="11">
        <v>3</v>
      </c>
      <c r="F67" s="123">
        <v>3</v>
      </c>
      <c r="G67" s="11">
        <v>3</v>
      </c>
      <c r="H67" s="123">
        <v>3</v>
      </c>
      <c r="I67" s="11">
        <v>3</v>
      </c>
      <c r="J67" s="123">
        <v>3</v>
      </c>
      <c r="K67" s="25">
        <v>8</v>
      </c>
      <c r="L67" s="11"/>
      <c r="M67" s="30"/>
      <c r="N67" s="30"/>
      <c r="O67" s="25"/>
      <c r="P67" s="25"/>
      <c r="Q67" s="22"/>
      <c r="R67" s="22"/>
      <c r="S67" s="22"/>
      <c r="T67" s="26">
        <v>0</v>
      </c>
      <c r="U67" s="26">
        <v>0</v>
      </c>
      <c r="V67" s="26">
        <v>14</v>
      </c>
      <c r="W67" s="26">
        <v>0</v>
      </c>
      <c r="X67" s="26">
        <v>12</v>
      </c>
      <c r="Y67" s="26">
        <v>0</v>
      </c>
      <c r="Z67" s="26">
        <v>0</v>
      </c>
      <c r="AA67" s="26">
        <v>0</v>
      </c>
      <c r="AB67" s="26">
        <v>0</v>
      </c>
      <c r="AC67" s="26">
        <v>0</v>
      </c>
    </row>
    <row r="68" spans="1:29">
      <c r="A68" s="23">
        <f>'ST-I'!A68</f>
        <v>260</v>
      </c>
      <c r="B68" s="115" t="str">
        <f>'ST-I'!B68</f>
        <v>SCT15CS060</v>
      </c>
      <c r="C68" s="24" t="str">
        <f>'ST-I'!C68</f>
        <v>VENI S</v>
      </c>
      <c r="D68" s="6"/>
      <c r="E68" s="11">
        <v>3</v>
      </c>
      <c r="F68" s="123">
        <v>3</v>
      </c>
      <c r="G68" s="11">
        <v>3</v>
      </c>
      <c r="H68" s="123">
        <v>3</v>
      </c>
      <c r="I68" s="11">
        <v>3</v>
      </c>
      <c r="J68" s="123">
        <v>10</v>
      </c>
      <c r="K68" s="25">
        <v>14</v>
      </c>
      <c r="L68" s="11"/>
      <c r="M68" s="30"/>
      <c r="N68" s="30"/>
      <c r="O68" s="25"/>
      <c r="P68" s="25"/>
      <c r="Q68" s="22"/>
      <c r="R68" s="22"/>
      <c r="S68" s="22"/>
      <c r="T68" s="26">
        <v>0</v>
      </c>
      <c r="U68" s="26">
        <v>0</v>
      </c>
      <c r="V68" s="26">
        <v>20</v>
      </c>
      <c r="W68" s="26">
        <v>0</v>
      </c>
      <c r="X68" s="26">
        <v>19</v>
      </c>
      <c r="Y68" s="26">
        <v>0</v>
      </c>
      <c r="Z68" s="26">
        <v>0</v>
      </c>
      <c r="AA68" s="26">
        <v>0</v>
      </c>
      <c r="AB68" s="26">
        <v>0</v>
      </c>
      <c r="AC68" s="26">
        <v>0</v>
      </c>
    </row>
    <row r="69" spans="1:29">
      <c r="A69" s="23">
        <f>'ST-I'!A69</f>
        <v>261</v>
      </c>
      <c r="B69" s="115" t="str">
        <f>'ST-I'!B69</f>
        <v>SCT15CS061</v>
      </c>
      <c r="C69" s="24" t="str">
        <f>'ST-I'!C69</f>
        <v>VISAKH V NAIR</v>
      </c>
      <c r="D69" s="6"/>
      <c r="E69" s="11">
        <v>1</v>
      </c>
      <c r="F69" s="123">
        <v>1</v>
      </c>
      <c r="G69" s="11"/>
      <c r="H69" s="123"/>
      <c r="I69" s="11">
        <v>3</v>
      </c>
      <c r="J69" s="123"/>
      <c r="K69" s="25">
        <v>4</v>
      </c>
      <c r="L69" s="11"/>
      <c r="M69" s="30"/>
      <c r="N69" s="30"/>
      <c r="O69" s="25"/>
      <c r="P69" s="25"/>
      <c r="Q69" s="22"/>
      <c r="R69" s="22"/>
      <c r="S69" s="22"/>
      <c r="T69" s="26">
        <v>0</v>
      </c>
      <c r="U69" s="26">
        <v>0</v>
      </c>
      <c r="V69" s="26">
        <v>5</v>
      </c>
      <c r="W69" s="26">
        <v>0</v>
      </c>
      <c r="X69" s="26">
        <v>4</v>
      </c>
      <c r="Y69" s="26">
        <v>0</v>
      </c>
      <c r="Z69" s="26">
        <v>0</v>
      </c>
      <c r="AA69" s="26">
        <v>0</v>
      </c>
      <c r="AB69" s="26">
        <v>0</v>
      </c>
      <c r="AC69" s="26">
        <v>0</v>
      </c>
    </row>
    <row r="70" spans="1:29">
      <c r="A70" s="23">
        <f>'ST-I'!A70</f>
        <v>262</v>
      </c>
      <c r="B70" s="115" t="str">
        <f>'ST-I'!B70</f>
        <v>SCT15CS062</v>
      </c>
      <c r="C70" s="24" t="str">
        <f>'ST-I'!C70</f>
        <v>VISHNU A K</v>
      </c>
      <c r="D70" s="6"/>
      <c r="E70" s="11">
        <v>3</v>
      </c>
      <c r="F70" s="123">
        <v>3</v>
      </c>
      <c r="G70" s="11">
        <v>3</v>
      </c>
      <c r="H70" s="123">
        <v>3</v>
      </c>
      <c r="I70" s="11">
        <v>3</v>
      </c>
      <c r="J70" s="123">
        <v>3</v>
      </c>
      <c r="K70" s="25">
        <v>13</v>
      </c>
      <c r="L70" s="11"/>
      <c r="M70" s="30"/>
      <c r="N70" s="30"/>
      <c r="O70" s="25"/>
      <c r="P70" s="25"/>
      <c r="Q70" s="22"/>
      <c r="R70" s="22"/>
      <c r="S70" s="22"/>
      <c r="T70" s="26">
        <v>0</v>
      </c>
      <c r="U70" s="26">
        <v>0</v>
      </c>
      <c r="V70" s="26">
        <v>19</v>
      </c>
      <c r="W70" s="26">
        <v>0</v>
      </c>
      <c r="X70" s="26">
        <v>12</v>
      </c>
      <c r="Y70" s="26">
        <v>0</v>
      </c>
      <c r="Z70" s="26">
        <v>0</v>
      </c>
      <c r="AA70" s="26">
        <v>0</v>
      </c>
      <c r="AB70" s="26">
        <v>0</v>
      </c>
      <c r="AC70" s="26">
        <v>0</v>
      </c>
    </row>
    <row r="71" spans="1:29">
      <c r="A71" s="23">
        <f>'ST-I'!A71</f>
        <v>263</v>
      </c>
      <c r="B71" s="115" t="str">
        <f>'ST-I'!B71</f>
        <v>SCT15CS063</v>
      </c>
      <c r="C71" s="24" t="str">
        <f>'ST-I'!C71</f>
        <v>VYSHNAVI S</v>
      </c>
      <c r="D71" s="6"/>
      <c r="E71" s="11">
        <v>3</v>
      </c>
      <c r="F71" s="123">
        <v>3</v>
      </c>
      <c r="G71" s="11">
        <v>3</v>
      </c>
      <c r="H71" s="123">
        <v>3</v>
      </c>
      <c r="I71" s="11">
        <v>3</v>
      </c>
      <c r="J71" s="123">
        <v>10</v>
      </c>
      <c r="K71" s="25"/>
      <c r="L71" s="11"/>
      <c r="M71" s="30"/>
      <c r="N71" s="30"/>
      <c r="O71" s="25"/>
      <c r="P71" s="25"/>
      <c r="Q71" s="22"/>
      <c r="R71" s="22"/>
      <c r="S71" s="22"/>
      <c r="T71" s="26">
        <v>0</v>
      </c>
      <c r="U71" s="26">
        <v>0</v>
      </c>
      <c r="V71" s="26">
        <v>6</v>
      </c>
      <c r="W71" s="26">
        <v>0</v>
      </c>
      <c r="X71" s="26">
        <v>19</v>
      </c>
      <c r="Y71" s="26">
        <v>0</v>
      </c>
      <c r="Z71" s="26">
        <v>0</v>
      </c>
      <c r="AA71" s="26">
        <v>0</v>
      </c>
      <c r="AB71" s="26">
        <v>0</v>
      </c>
      <c r="AC71" s="26">
        <v>0</v>
      </c>
    </row>
    <row r="72" spans="1:29">
      <c r="A72" s="23">
        <f>'ST-I'!A72</f>
        <v>264</v>
      </c>
      <c r="B72" s="115" t="str">
        <f>'ST-I'!B72</f>
        <v>SCT15CS064</v>
      </c>
      <c r="C72" s="24" t="str">
        <f>'ST-I'!C72</f>
        <v>ABU THAHIR KM</v>
      </c>
      <c r="D72" s="30"/>
      <c r="E72" s="11"/>
      <c r="F72" s="123"/>
      <c r="G72" s="11"/>
      <c r="H72" s="123"/>
      <c r="I72" s="11"/>
      <c r="J72" s="123"/>
      <c r="K72" s="25"/>
      <c r="L72" s="11"/>
      <c r="M72" s="30"/>
      <c r="N72" s="30"/>
      <c r="O72" s="25"/>
      <c r="P72" s="25"/>
      <c r="Q72" s="17"/>
      <c r="R72" s="17"/>
      <c r="S72" s="17"/>
      <c r="T72" s="8">
        <v>0</v>
      </c>
      <c r="U72" s="8">
        <v>0</v>
      </c>
      <c r="V72" s="8">
        <v>0</v>
      </c>
      <c r="W72" s="8">
        <v>0</v>
      </c>
      <c r="X72" s="8">
        <v>0</v>
      </c>
      <c r="Y72" s="8">
        <v>0</v>
      </c>
      <c r="Z72" s="8">
        <v>0</v>
      </c>
      <c r="AA72" s="8">
        <v>0</v>
      </c>
      <c r="AB72" s="8">
        <v>0</v>
      </c>
      <c r="AC72" s="8">
        <v>0</v>
      </c>
    </row>
    <row r="73" spans="1:29">
      <c r="A73" s="23">
        <f>'ST-I'!A73</f>
        <v>265</v>
      </c>
      <c r="B73" s="115" t="str">
        <f>'ST-I'!B73</f>
        <v>SCT15CS065</v>
      </c>
      <c r="C73" s="24" t="str">
        <f>'ST-I'!C73</f>
        <v>ARUN S BABU</v>
      </c>
      <c r="D73" s="30"/>
      <c r="E73" s="11"/>
      <c r="F73" s="123">
        <v>1</v>
      </c>
      <c r="G73" s="11">
        <v>1</v>
      </c>
      <c r="H73" s="123">
        <v>0.5</v>
      </c>
      <c r="I73" s="11">
        <v>3</v>
      </c>
      <c r="J73" s="123">
        <v>2</v>
      </c>
      <c r="K73" s="25">
        <v>5</v>
      </c>
      <c r="L73" s="11"/>
      <c r="M73" s="30"/>
      <c r="N73" s="30"/>
      <c r="O73" s="30"/>
      <c r="P73" s="30"/>
      <c r="Q73" s="17"/>
      <c r="R73" s="17"/>
      <c r="S73" s="17"/>
      <c r="T73" s="8">
        <v>0</v>
      </c>
      <c r="U73" s="8">
        <v>0</v>
      </c>
      <c r="V73" s="8">
        <v>6.5</v>
      </c>
      <c r="W73" s="8">
        <v>0</v>
      </c>
      <c r="X73" s="8">
        <v>6</v>
      </c>
      <c r="Y73" s="8">
        <v>0</v>
      </c>
      <c r="Z73" s="8">
        <v>0</v>
      </c>
      <c r="AA73" s="8">
        <v>0</v>
      </c>
      <c r="AB73" s="8">
        <v>0</v>
      </c>
      <c r="AC73" s="8">
        <v>0</v>
      </c>
    </row>
    <row r="74" spans="1:29">
      <c r="A74" s="23">
        <f>'ST-I'!A74</f>
        <v>266</v>
      </c>
      <c r="B74" s="115" t="str">
        <f>'ST-I'!B74</f>
        <v>SCT15CS066</v>
      </c>
      <c r="C74" s="24" t="str">
        <f>'ST-I'!C74</f>
        <v>SUBINA C K</v>
      </c>
      <c r="D74" s="30"/>
      <c r="E74" s="11"/>
      <c r="F74" s="123">
        <v>1</v>
      </c>
      <c r="G74" s="11">
        <v>3</v>
      </c>
      <c r="H74" s="123">
        <v>3</v>
      </c>
      <c r="I74" s="11">
        <v>1</v>
      </c>
      <c r="J74" s="123">
        <v>3</v>
      </c>
      <c r="K74" s="25">
        <v>3</v>
      </c>
      <c r="L74" s="11"/>
      <c r="M74" s="30"/>
      <c r="N74" s="30"/>
      <c r="O74" s="30"/>
      <c r="P74" s="30"/>
      <c r="Q74" s="17"/>
      <c r="R74" s="17"/>
      <c r="S74" s="17"/>
      <c r="T74" s="8">
        <v>0</v>
      </c>
      <c r="U74" s="8">
        <v>0</v>
      </c>
      <c r="V74" s="8">
        <v>7</v>
      </c>
      <c r="W74" s="8">
        <v>0</v>
      </c>
      <c r="X74" s="8">
        <v>7</v>
      </c>
      <c r="Y74" s="8">
        <v>0</v>
      </c>
      <c r="Z74" s="8">
        <v>0</v>
      </c>
      <c r="AA74" s="8">
        <v>0</v>
      </c>
      <c r="AB74" s="8">
        <v>0</v>
      </c>
      <c r="AC74" s="8">
        <v>0</v>
      </c>
    </row>
    <row r="75" spans="1:29">
      <c r="A75" s="23">
        <f>'ST-I'!A75</f>
        <v>0</v>
      </c>
      <c r="B75" s="26"/>
      <c r="C75" s="24">
        <f>'ST-I'!C75</f>
        <v>0</v>
      </c>
      <c r="D75" s="30"/>
      <c r="E75" s="11"/>
      <c r="F75" s="123"/>
      <c r="G75" s="11"/>
      <c r="H75" s="123"/>
      <c r="I75" s="11"/>
      <c r="J75" s="123"/>
      <c r="K75" s="41"/>
      <c r="L75" s="11"/>
      <c r="M75" s="30"/>
      <c r="N75" s="30"/>
      <c r="O75" s="30"/>
      <c r="P75" s="30"/>
      <c r="Q75" s="30"/>
      <c r="R75" s="30"/>
      <c r="S75" s="30"/>
      <c r="T75" s="8">
        <v>0</v>
      </c>
      <c r="U75" s="8">
        <v>0</v>
      </c>
      <c r="V75" s="8">
        <v>0</v>
      </c>
      <c r="W75" s="8">
        <v>0</v>
      </c>
      <c r="X75" s="8">
        <v>0</v>
      </c>
      <c r="Y75" s="8">
        <v>0</v>
      </c>
      <c r="Z75" s="8">
        <v>0</v>
      </c>
      <c r="AA75" s="8">
        <v>0</v>
      </c>
      <c r="AB75" s="8">
        <v>0</v>
      </c>
      <c r="AC75" s="8">
        <v>0</v>
      </c>
    </row>
    <row r="76" spans="1:29">
      <c r="A76" s="23">
        <f>'ST-I'!A76</f>
        <v>0</v>
      </c>
      <c r="B76" s="26"/>
      <c r="C76" s="24">
        <f>'ST-I'!C76</f>
        <v>0</v>
      </c>
      <c r="D76" s="30"/>
      <c r="E76" s="11"/>
      <c r="F76" s="123"/>
      <c r="G76" s="11"/>
      <c r="H76" s="123"/>
      <c r="I76" s="11"/>
      <c r="J76" s="123"/>
      <c r="K76" s="41"/>
      <c r="L76" s="11"/>
      <c r="M76" s="30"/>
      <c r="N76" s="30"/>
      <c r="O76" s="30"/>
      <c r="P76" s="30"/>
      <c r="Q76" s="30"/>
      <c r="R76" s="30"/>
      <c r="S76" s="30"/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</row>
    <row r="77" spans="1:29">
      <c r="A77" s="23">
        <f>'ST-I'!A77</f>
        <v>0</v>
      </c>
      <c r="B77" s="43"/>
      <c r="C77" s="24">
        <f>'ST-I'!C77</f>
        <v>0</v>
      </c>
      <c r="D77" s="30"/>
      <c r="E77" s="11"/>
      <c r="F77" s="123"/>
      <c r="G77" s="11"/>
      <c r="H77" s="123"/>
      <c r="I77" s="11"/>
      <c r="J77" s="123"/>
      <c r="K77" s="41"/>
      <c r="L77" s="11"/>
      <c r="M77" s="30"/>
      <c r="N77" s="30"/>
      <c r="O77" s="30"/>
      <c r="P77" s="30"/>
      <c r="Q77" s="30"/>
      <c r="R77" s="30"/>
      <c r="S77" s="30"/>
      <c r="T77" s="8">
        <v>0</v>
      </c>
      <c r="U77" s="8">
        <v>0</v>
      </c>
      <c r="V77" s="8">
        <v>0</v>
      </c>
      <c r="W77" s="8">
        <v>0</v>
      </c>
      <c r="X77" s="8">
        <v>0</v>
      </c>
      <c r="Y77" s="8">
        <v>0</v>
      </c>
      <c r="Z77" s="8">
        <v>0</v>
      </c>
      <c r="AA77" s="8">
        <v>0</v>
      </c>
      <c r="AB77" s="8">
        <v>0</v>
      </c>
      <c r="AC77" s="8">
        <v>0</v>
      </c>
    </row>
    <row r="78" spans="1:29">
      <c r="A78" s="23">
        <f>'ST-I'!A78</f>
        <v>0</v>
      </c>
      <c r="B78" s="30"/>
      <c r="C78" s="24">
        <f>'ST-I'!C78</f>
        <v>0</v>
      </c>
      <c r="D78" s="30"/>
      <c r="E78" s="11"/>
      <c r="F78" s="123"/>
      <c r="G78" s="11"/>
      <c r="H78" s="123"/>
      <c r="I78" s="11"/>
      <c r="J78" s="123"/>
      <c r="K78" s="41"/>
      <c r="L78" s="11"/>
      <c r="M78" s="30"/>
      <c r="N78" s="30"/>
      <c r="O78" s="30"/>
      <c r="P78" s="30"/>
      <c r="Q78" s="30"/>
      <c r="R78" s="30"/>
      <c r="S78" s="30"/>
      <c r="T78" s="8">
        <v>0</v>
      </c>
      <c r="U78" s="8">
        <v>0</v>
      </c>
      <c r="V78" s="8">
        <v>0</v>
      </c>
      <c r="W78" s="8">
        <v>0</v>
      </c>
      <c r="X78" s="8">
        <v>0</v>
      </c>
      <c r="Y78" s="8">
        <v>0</v>
      </c>
      <c r="Z78" s="8">
        <v>0</v>
      </c>
      <c r="AA78" s="8">
        <v>0</v>
      </c>
      <c r="AB78" s="8">
        <v>0</v>
      </c>
      <c r="AC78" s="8">
        <v>0</v>
      </c>
    </row>
    <row r="79" spans="1:29">
      <c r="A79" s="23">
        <f>'ST-I'!A79</f>
        <v>0</v>
      </c>
      <c r="B79" s="30"/>
      <c r="C79" s="24">
        <f>'ST-I'!C79</f>
        <v>0</v>
      </c>
      <c r="D79" s="30"/>
      <c r="E79" s="30"/>
      <c r="F79" s="30"/>
      <c r="G79" s="30"/>
      <c r="H79" s="30"/>
      <c r="I79" s="41"/>
      <c r="J79" s="41"/>
      <c r="K79" s="41"/>
      <c r="L79" s="41"/>
      <c r="M79" s="30"/>
      <c r="N79" s="30"/>
      <c r="O79" s="30"/>
      <c r="P79" s="30"/>
      <c r="Q79" s="30"/>
      <c r="R79" s="30"/>
      <c r="S79" s="30"/>
      <c r="T79" s="8">
        <v>0</v>
      </c>
      <c r="U79" s="8">
        <v>0</v>
      </c>
      <c r="V79" s="8">
        <v>0</v>
      </c>
      <c r="W79" s="8">
        <v>0</v>
      </c>
      <c r="X79" s="8">
        <v>0</v>
      </c>
      <c r="Y79" s="8">
        <v>0</v>
      </c>
      <c r="Z79" s="8">
        <v>0</v>
      </c>
      <c r="AA79" s="8">
        <v>0</v>
      </c>
      <c r="AB79" s="8">
        <v>0</v>
      </c>
      <c r="AC79" s="8">
        <v>0</v>
      </c>
    </row>
    <row r="80" spans="1:29">
      <c r="A80" s="23">
        <f>'ST-I'!A80</f>
        <v>0</v>
      </c>
      <c r="B80" s="30"/>
      <c r="C80" s="24">
        <f>'ST-I'!C80</f>
        <v>0</v>
      </c>
      <c r="D80" s="30"/>
      <c r="E80" s="30"/>
      <c r="F80" s="30"/>
      <c r="G80" s="30"/>
      <c r="H80" s="30"/>
      <c r="I80" s="41"/>
      <c r="J80" s="41"/>
      <c r="K80" s="41"/>
      <c r="L80" s="41"/>
      <c r="M80" s="30"/>
      <c r="N80" s="30"/>
      <c r="O80" s="30"/>
      <c r="P80" s="30"/>
      <c r="Q80" s="30"/>
      <c r="R80" s="30"/>
      <c r="S80" s="30"/>
      <c r="T80" s="8">
        <v>0</v>
      </c>
      <c r="U80" s="8">
        <v>0</v>
      </c>
      <c r="V80" s="8">
        <v>0</v>
      </c>
      <c r="W80" s="8">
        <v>0</v>
      </c>
      <c r="X80" s="8">
        <v>0</v>
      </c>
      <c r="Y80" s="8">
        <v>0</v>
      </c>
      <c r="Z80" s="8">
        <v>0</v>
      </c>
      <c r="AA80" s="8">
        <v>0</v>
      </c>
      <c r="AB80" s="8">
        <v>0</v>
      </c>
      <c r="AC80" s="8">
        <v>0</v>
      </c>
    </row>
    <row r="81" spans="1:29">
      <c r="A81" s="23">
        <f>'ST-I'!A81</f>
        <v>0</v>
      </c>
      <c r="B81" s="30"/>
      <c r="C81" s="24">
        <f>'ST-I'!C81</f>
        <v>0</v>
      </c>
      <c r="D81" s="30"/>
      <c r="E81" s="30"/>
      <c r="F81" s="30"/>
      <c r="G81" s="30"/>
      <c r="H81" s="30"/>
      <c r="I81" s="41"/>
      <c r="J81" s="41"/>
      <c r="K81" s="41"/>
      <c r="L81" s="41"/>
      <c r="M81" s="30"/>
      <c r="N81" s="30"/>
      <c r="O81" s="30"/>
      <c r="P81" s="30"/>
      <c r="Q81" s="30"/>
      <c r="R81" s="30"/>
      <c r="S81" s="30"/>
      <c r="T81" s="8">
        <v>0</v>
      </c>
      <c r="U81" s="8">
        <v>0</v>
      </c>
      <c r="V81" s="8">
        <v>0</v>
      </c>
      <c r="W81" s="8">
        <v>0</v>
      </c>
      <c r="X81" s="8">
        <v>0</v>
      </c>
      <c r="Y81" s="8">
        <v>0</v>
      </c>
      <c r="Z81" s="8">
        <v>0</v>
      </c>
      <c r="AA81" s="8">
        <v>0</v>
      </c>
      <c r="AB81" s="8">
        <v>0</v>
      </c>
      <c r="AC81" s="8">
        <v>0</v>
      </c>
    </row>
  </sheetData>
  <mergeCells count="26">
    <mergeCell ref="A5:A8"/>
    <mergeCell ref="B5:B8"/>
    <mergeCell ref="C5:C8"/>
    <mergeCell ref="A1:AC1"/>
    <mergeCell ref="A3:B3"/>
    <mergeCell ref="C3:H3"/>
    <mergeCell ref="T3:AC3"/>
    <mergeCell ref="T5:AC5"/>
    <mergeCell ref="D7:D8"/>
    <mergeCell ref="E7:E8"/>
    <mergeCell ref="F7:F8"/>
    <mergeCell ref="G7:G8"/>
    <mergeCell ref="H7:H8"/>
    <mergeCell ref="I7:I8"/>
    <mergeCell ref="J7:J8"/>
    <mergeCell ref="K7:K8"/>
    <mergeCell ref="D2:E2"/>
    <mergeCell ref="L7:L8"/>
    <mergeCell ref="M7:M8"/>
    <mergeCell ref="S7:S8"/>
    <mergeCell ref="T7:AC7"/>
    <mergeCell ref="N7:N8"/>
    <mergeCell ref="O7:O8"/>
    <mergeCell ref="P7:P8"/>
    <mergeCell ref="Q7:Q8"/>
    <mergeCell ref="R7:R8"/>
  </mergeCells>
  <pageMargins left="0.7" right="0.7" top="0.5" bottom="0.25" header="0.3" footer="0.3"/>
  <pageSetup paperSize="9" orientation="landscape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C81"/>
  <sheetViews>
    <sheetView topLeftCell="A56" workbookViewId="0">
      <selection activeCell="A9" sqref="A9:A74"/>
    </sheetView>
  </sheetViews>
  <sheetFormatPr defaultRowHeight="15"/>
  <cols>
    <col min="1" max="1" width="5.85546875" style="3" bestFit="1" customWidth="1"/>
    <col min="2" max="2" width="15" style="3" customWidth="1"/>
    <col min="3" max="3" width="33.42578125" style="4" customWidth="1"/>
    <col min="4" max="4" width="11.140625" style="3" customWidth="1"/>
    <col min="5" max="8" width="6.5703125" style="3" customWidth="1"/>
    <col min="9" max="12" width="6.5703125" style="36" customWidth="1"/>
    <col min="13" max="19" width="6.5703125" style="3" customWidth="1"/>
    <col min="20" max="29" width="7.42578125" style="1" customWidth="1"/>
  </cols>
  <sheetData>
    <row r="1" spans="1:29" ht="15.75">
      <c r="A1" s="133" t="s">
        <v>31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  <c r="AC1" s="133"/>
    </row>
    <row r="2" spans="1:29">
      <c r="A2" s="16" t="s">
        <v>21</v>
      </c>
      <c r="B2" s="33"/>
      <c r="C2" s="48">
        <f>'ST-I'!C2</f>
        <v>6</v>
      </c>
      <c r="D2" s="49"/>
      <c r="E2" s="50"/>
      <c r="F2" s="50"/>
      <c r="G2" s="49"/>
      <c r="H2" s="49"/>
      <c r="S2" s="16" t="s">
        <v>22</v>
      </c>
      <c r="T2" s="46" t="str">
        <f>'ST-I'!T2</f>
        <v>CSE</v>
      </c>
      <c r="U2" s="47"/>
      <c r="V2" s="47"/>
      <c r="W2" s="47"/>
      <c r="X2" s="47"/>
      <c r="Y2" s="47"/>
      <c r="Z2" s="47"/>
      <c r="AA2" s="47"/>
      <c r="AB2" s="47"/>
      <c r="AC2" s="47"/>
    </row>
    <row r="3" spans="1:29">
      <c r="A3" s="135" t="s">
        <v>24</v>
      </c>
      <c r="B3" s="135"/>
      <c r="C3" s="134" t="str">
        <f>'ST-I'!C3:H3</f>
        <v>CS304 COMPILER DESIGN</v>
      </c>
      <c r="D3" s="134"/>
      <c r="E3" s="134"/>
      <c r="F3" s="134"/>
      <c r="G3" s="134"/>
      <c r="H3" s="134"/>
      <c r="S3" s="16" t="s">
        <v>23</v>
      </c>
      <c r="T3" s="148" t="str">
        <f>'ST-I'!T3:AC3</f>
        <v>Dr. Subu Surendran</v>
      </c>
      <c r="U3" s="148"/>
      <c r="V3" s="148"/>
      <c r="W3" s="148"/>
      <c r="X3" s="148"/>
      <c r="Y3" s="148"/>
      <c r="Z3" s="148"/>
      <c r="AA3" s="148"/>
      <c r="AB3" s="148"/>
      <c r="AC3" s="148"/>
    </row>
    <row r="4" spans="1:29">
      <c r="A4" s="34"/>
      <c r="B4" s="34"/>
      <c r="C4" s="34"/>
      <c r="D4" s="28"/>
      <c r="E4" s="28"/>
      <c r="F4" s="28"/>
      <c r="G4" s="28"/>
      <c r="H4" s="28"/>
      <c r="I4" s="37"/>
      <c r="J4" s="37"/>
      <c r="K4" s="37"/>
      <c r="L4" s="37"/>
      <c r="M4" s="28"/>
      <c r="N4" s="28"/>
      <c r="O4" s="28"/>
      <c r="P4" s="28"/>
      <c r="Q4" s="28"/>
      <c r="R4" s="28"/>
      <c r="S4" s="28"/>
    </row>
    <row r="5" spans="1:29">
      <c r="A5" s="140" t="s">
        <v>16</v>
      </c>
      <c r="B5" s="140" t="s">
        <v>1</v>
      </c>
      <c r="C5" s="143" t="s">
        <v>15</v>
      </c>
      <c r="D5" s="18" t="s">
        <v>11</v>
      </c>
      <c r="E5" s="19">
        <v>1</v>
      </c>
      <c r="F5" s="19">
        <v>2</v>
      </c>
      <c r="G5" s="19">
        <v>3</v>
      </c>
      <c r="H5" s="19">
        <v>4</v>
      </c>
      <c r="I5" s="38">
        <v>5</v>
      </c>
      <c r="J5" s="38">
        <v>6</v>
      </c>
      <c r="K5" s="38">
        <v>7</v>
      </c>
      <c r="L5" s="39">
        <v>8</v>
      </c>
      <c r="M5" s="20">
        <v>9</v>
      </c>
      <c r="N5" s="20">
        <v>10</v>
      </c>
      <c r="O5" s="20">
        <v>11</v>
      </c>
      <c r="P5" s="20">
        <v>12</v>
      </c>
      <c r="Q5" s="20">
        <v>13</v>
      </c>
      <c r="R5" s="20">
        <v>14</v>
      </c>
      <c r="S5" s="20">
        <v>15</v>
      </c>
      <c r="T5" s="137" t="s">
        <v>20</v>
      </c>
      <c r="U5" s="138"/>
      <c r="V5" s="138"/>
      <c r="W5" s="138"/>
      <c r="X5" s="138"/>
      <c r="Y5" s="138"/>
      <c r="Z5" s="138"/>
      <c r="AA5" s="138"/>
      <c r="AB5" s="138"/>
      <c r="AC5" s="139"/>
    </row>
    <row r="6" spans="1:29">
      <c r="A6" s="141"/>
      <c r="B6" s="141"/>
      <c r="C6" s="144"/>
      <c r="D6" s="18" t="s">
        <v>13</v>
      </c>
      <c r="E6" s="17">
        <v>10</v>
      </c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8" t="s">
        <v>2</v>
      </c>
      <c r="U6" s="18" t="s">
        <v>3</v>
      </c>
      <c r="V6" s="18" t="s">
        <v>4</v>
      </c>
      <c r="W6" s="18" t="s">
        <v>5</v>
      </c>
      <c r="X6" s="18" t="s">
        <v>19</v>
      </c>
      <c r="Y6" s="18" t="s">
        <v>25</v>
      </c>
      <c r="Z6" s="18" t="s">
        <v>26</v>
      </c>
      <c r="AA6" s="18" t="s">
        <v>27</v>
      </c>
      <c r="AB6" s="18" t="s">
        <v>28</v>
      </c>
      <c r="AC6" s="18" t="s">
        <v>29</v>
      </c>
    </row>
    <row r="7" spans="1:29">
      <c r="A7" s="141"/>
      <c r="B7" s="141"/>
      <c r="C7" s="144"/>
      <c r="D7" s="146" t="s">
        <v>12</v>
      </c>
      <c r="E7" s="131">
        <v>6</v>
      </c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7" t="s">
        <v>14</v>
      </c>
      <c r="U7" s="138"/>
      <c r="V7" s="138"/>
      <c r="W7" s="138"/>
      <c r="X7" s="138"/>
      <c r="Y7" s="138"/>
      <c r="Z7" s="138"/>
      <c r="AA7" s="138"/>
      <c r="AB7" s="138"/>
      <c r="AC7" s="139"/>
    </row>
    <row r="8" spans="1:29">
      <c r="A8" s="142"/>
      <c r="B8" s="142"/>
      <c r="C8" s="145"/>
      <c r="D8" s="147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31">
        <v>0</v>
      </c>
      <c r="U8" s="31">
        <v>0</v>
      </c>
      <c r="V8" s="31">
        <v>0</v>
      </c>
      <c r="W8" s="31">
        <v>0</v>
      </c>
      <c r="X8" s="31">
        <v>0</v>
      </c>
      <c r="Y8" s="31">
        <v>10</v>
      </c>
      <c r="Z8" s="31">
        <v>0</v>
      </c>
      <c r="AA8" s="31">
        <v>0</v>
      </c>
      <c r="AB8" s="31">
        <v>0</v>
      </c>
      <c r="AC8" s="31">
        <v>0</v>
      </c>
    </row>
    <row r="9" spans="1:29">
      <c r="A9" s="11">
        <v>201</v>
      </c>
      <c r="B9" s="115" t="str">
        <f>'ST-I'!B9</f>
        <v>SCT15CS001</v>
      </c>
      <c r="C9" s="121" t="str">
        <f>'ST-I'!C9</f>
        <v>AASHIK N R</v>
      </c>
      <c r="D9" s="6"/>
      <c r="E9" s="118">
        <v>9</v>
      </c>
      <c r="F9" s="102"/>
      <c r="G9" s="102"/>
      <c r="H9" s="124"/>
      <c r="I9" s="102"/>
      <c r="J9" s="101"/>
      <c r="K9" s="25"/>
      <c r="L9" s="25"/>
      <c r="M9" s="35"/>
      <c r="N9" s="35"/>
      <c r="O9" s="25"/>
      <c r="P9" s="25"/>
      <c r="Q9" s="22"/>
      <c r="R9" s="22"/>
      <c r="S9" s="22"/>
      <c r="T9" s="31">
        <v>0</v>
      </c>
      <c r="U9" s="31">
        <v>0</v>
      </c>
      <c r="V9" s="31">
        <v>0</v>
      </c>
      <c r="W9" s="31">
        <v>0</v>
      </c>
      <c r="X9" s="31">
        <v>0</v>
      </c>
      <c r="Y9" s="31">
        <v>9</v>
      </c>
      <c r="Z9" s="31">
        <v>0</v>
      </c>
      <c r="AA9" s="31">
        <v>0</v>
      </c>
      <c r="AB9" s="31">
        <v>0</v>
      </c>
      <c r="AC9" s="31">
        <v>0</v>
      </c>
    </row>
    <row r="10" spans="1:29">
      <c r="A10" s="11">
        <v>202</v>
      </c>
      <c r="B10" s="115" t="str">
        <f>'ST-I'!B10</f>
        <v>SCT15CS002</v>
      </c>
      <c r="C10" s="121" t="str">
        <f>'ST-I'!C10</f>
        <v>ABHILASH JJ</v>
      </c>
      <c r="D10" s="6"/>
      <c r="E10" s="118">
        <v>9</v>
      </c>
      <c r="F10" s="102"/>
      <c r="G10" s="102"/>
      <c r="H10" s="124"/>
      <c r="I10" s="102"/>
      <c r="J10" s="101"/>
      <c r="K10" s="25"/>
      <c r="L10" s="25"/>
      <c r="M10" s="35"/>
      <c r="N10" s="35"/>
      <c r="O10" s="25"/>
      <c r="P10" s="25"/>
      <c r="Q10" s="22"/>
      <c r="R10" s="22"/>
      <c r="S10" s="22"/>
      <c r="T10" s="31">
        <v>0</v>
      </c>
      <c r="U10" s="31">
        <v>0</v>
      </c>
      <c r="V10" s="31">
        <v>0</v>
      </c>
      <c r="W10" s="31">
        <v>0</v>
      </c>
      <c r="X10" s="31">
        <v>0</v>
      </c>
      <c r="Y10" s="31">
        <v>9</v>
      </c>
      <c r="Z10" s="31">
        <v>0</v>
      </c>
      <c r="AA10" s="31">
        <v>0</v>
      </c>
      <c r="AB10" s="31">
        <v>0</v>
      </c>
      <c r="AC10" s="31">
        <v>0</v>
      </c>
    </row>
    <row r="11" spans="1:29">
      <c r="A11" s="11">
        <v>203</v>
      </c>
      <c r="B11" s="115" t="str">
        <f>'ST-I'!B11</f>
        <v>SCT15CS003</v>
      </c>
      <c r="C11" s="121" t="str">
        <f>'ST-I'!C11</f>
        <v>AISWARYA UDAYAN</v>
      </c>
      <c r="D11" s="6"/>
      <c r="E11" s="118">
        <v>9</v>
      </c>
      <c r="F11" s="102"/>
      <c r="G11" s="102"/>
      <c r="H11" s="124"/>
      <c r="I11" s="102"/>
      <c r="J11" s="101"/>
      <c r="K11" s="25"/>
      <c r="L11" s="25"/>
      <c r="M11" s="35"/>
      <c r="N11" s="35"/>
      <c r="O11" s="25"/>
      <c r="P11" s="25"/>
      <c r="Q11" s="22"/>
      <c r="R11" s="22"/>
      <c r="S11" s="22"/>
      <c r="T11" s="31">
        <v>0</v>
      </c>
      <c r="U11" s="31">
        <v>0</v>
      </c>
      <c r="V11" s="31">
        <v>0</v>
      </c>
      <c r="W11" s="31">
        <v>0</v>
      </c>
      <c r="X11" s="31">
        <v>0</v>
      </c>
      <c r="Y11" s="31">
        <v>9</v>
      </c>
      <c r="Z11" s="31">
        <v>0</v>
      </c>
      <c r="AA11" s="31">
        <v>0</v>
      </c>
      <c r="AB11" s="31">
        <v>0</v>
      </c>
      <c r="AC11" s="31">
        <v>0</v>
      </c>
    </row>
    <row r="12" spans="1:29">
      <c r="A12" s="11">
        <v>204</v>
      </c>
      <c r="B12" s="115" t="str">
        <f>'ST-I'!B12</f>
        <v>SCT15CS004</v>
      </c>
      <c r="C12" s="121" t="str">
        <f>'ST-I'!C12</f>
        <v>AKSHAY A PRAJAPATHY</v>
      </c>
      <c r="D12" s="6"/>
      <c r="E12" s="118">
        <v>9</v>
      </c>
      <c r="F12" s="102"/>
      <c r="G12" s="102"/>
      <c r="H12" s="124"/>
      <c r="I12" s="102"/>
      <c r="J12" s="101"/>
      <c r="K12" s="25"/>
      <c r="L12" s="25"/>
      <c r="M12" s="35"/>
      <c r="N12" s="35"/>
      <c r="O12" s="25"/>
      <c r="P12" s="25"/>
      <c r="Q12" s="22"/>
      <c r="R12" s="22"/>
      <c r="S12" s="22"/>
      <c r="T12" s="31">
        <v>0</v>
      </c>
      <c r="U12" s="31">
        <v>0</v>
      </c>
      <c r="V12" s="31">
        <v>0</v>
      </c>
      <c r="W12" s="31">
        <v>0</v>
      </c>
      <c r="X12" s="31">
        <v>0</v>
      </c>
      <c r="Y12" s="31">
        <v>9</v>
      </c>
      <c r="Z12" s="31">
        <v>0</v>
      </c>
      <c r="AA12" s="31">
        <v>0</v>
      </c>
      <c r="AB12" s="31">
        <v>0</v>
      </c>
      <c r="AC12" s="31">
        <v>0</v>
      </c>
    </row>
    <row r="13" spans="1:29">
      <c r="A13" s="11">
        <v>205</v>
      </c>
      <c r="B13" s="115" t="str">
        <f>'ST-I'!B13</f>
        <v>SCT15CS005</v>
      </c>
      <c r="C13" s="121" t="str">
        <f>'ST-I'!C13</f>
        <v>ALBIN ANTONY</v>
      </c>
      <c r="D13" s="6"/>
      <c r="E13" s="118">
        <v>9</v>
      </c>
      <c r="F13" s="102"/>
      <c r="G13" s="102"/>
      <c r="H13" s="124"/>
      <c r="I13" s="102"/>
      <c r="J13" s="101"/>
      <c r="K13" s="25"/>
      <c r="L13" s="25"/>
      <c r="M13" s="35"/>
      <c r="N13" s="35"/>
      <c r="O13" s="25"/>
      <c r="P13" s="25"/>
      <c r="Q13" s="22"/>
      <c r="R13" s="22"/>
      <c r="S13" s="22"/>
      <c r="T13" s="31">
        <v>0</v>
      </c>
      <c r="U13" s="31">
        <v>0</v>
      </c>
      <c r="V13" s="31">
        <v>0</v>
      </c>
      <c r="W13" s="31">
        <v>0</v>
      </c>
      <c r="X13" s="31">
        <v>0</v>
      </c>
      <c r="Y13" s="31">
        <v>9</v>
      </c>
      <c r="Z13" s="31">
        <v>0</v>
      </c>
      <c r="AA13" s="31">
        <v>0</v>
      </c>
      <c r="AB13" s="31">
        <v>0</v>
      </c>
      <c r="AC13" s="31">
        <v>0</v>
      </c>
    </row>
    <row r="14" spans="1:29">
      <c r="A14" s="11">
        <v>206</v>
      </c>
      <c r="B14" s="115" t="str">
        <f>'ST-I'!B14</f>
        <v>SCT15CS006</v>
      </c>
      <c r="C14" s="121" t="str">
        <f>'ST-I'!C14</f>
        <v>ALEX M JOHN</v>
      </c>
      <c r="D14" s="6"/>
      <c r="E14" s="118">
        <v>9</v>
      </c>
      <c r="F14" s="102"/>
      <c r="G14" s="102"/>
      <c r="H14" s="124"/>
      <c r="I14" s="102"/>
      <c r="J14" s="101"/>
      <c r="K14" s="25"/>
      <c r="L14" s="25"/>
      <c r="M14" s="35"/>
      <c r="N14" s="35"/>
      <c r="O14" s="25"/>
      <c r="P14" s="25"/>
      <c r="Q14" s="22"/>
      <c r="R14" s="22"/>
      <c r="S14" s="22"/>
      <c r="T14" s="31">
        <v>0</v>
      </c>
      <c r="U14" s="31">
        <v>0</v>
      </c>
      <c r="V14" s="31">
        <v>0</v>
      </c>
      <c r="W14" s="31">
        <v>0</v>
      </c>
      <c r="X14" s="31">
        <v>0</v>
      </c>
      <c r="Y14" s="31">
        <v>9</v>
      </c>
      <c r="Z14" s="31">
        <v>0</v>
      </c>
      <c r="AA14" s="31">
        <v>0</v>
      </c>
      <c r="AB14" s="31">
        <v>0</v>
      </c>
      <c r="AC14" s="31">
        <v>0</v>
      </c>
    </row>
    <row r="15" spans="1:29">
      <c r="A15" s="11">
        <v>207</v>
      </c>
      <c r="B15" s="115" t="str">
        <f>'ST-I'!B15</f>
        <v>SCT15CS007</v>
      </c>
      <c r="C15" s="121" t="str">
        <f>'ST-I'!C15</f>
        <v>ALIN BABU</v>
      </c>
      <c r="D15" s="6"/>
      <c r="E15" s="118"/>
      <c r="F15" s="102"/>
      <c r="G15" s="102"/>
      <c r="H15" s="124"/>
      <c r="I15" s="102"/>
      <c r="J15" s="101"/>
      <c r="K15" s="25"/>
      <c r="L15" s="25"/>
      <c r="M15" s="35"/>
      <c r="N15" s="35"/>
      <c r="O15" s="25"/>
      <c r="P15" s="25"/>
      <c r="Q15" s="22"/>
      <c r="R15" s="22"/>
      <c r="S15" s="22"/>
      <c r="T15" s="31">
        <v>0</v>
      </c>
      <c r="U15" s="31">
        <v>0</v>
      </c>
      <c r="V15" s="31">
        <v>0</v>
      </c>
      <c r="W15" s="31">
        <v>0</v>
      </c>
      <c r="X15" s="31">
        <v>0</v>
      </c>
      <c r="Y15" s="31">
        <v>0</v>
      </c>
      <c r="Z15" s="31">
        <v>0</v>
      </c>
      <c r="AA15" s="31">
        <v>0</v>
      </c>
      <c r="AB15" s="31">
        <v>0</v>
      </c>
      <c r="AC15" s="31">
        <v>0</v>
      </c>
    </row>
    <row r="16" spans="1:29">
      <c r="A16" s="11">
        <v>208</v>
      </c>
      <c r="B16" s="115" t="str">
        <f>'ST-I'!B16</f>
        <v>SCT15CS008</v>
      </c>
      <c r="C16" s="121" t="str">
        <f>'ST-I'!C16</f>
        <v>AMANYU ROY A P</v>
      </c>
      <c r="D16" s="6"/>
      <c r="E16" s="118">
        <v>9</v>
      </c>
      <c r="F16" s="102"/>
      <c r="G16" s="102"/>
      <c r="H16" s="124"/>
      <c r="I16" s="102"/>
      <c r="J16" s="101"/>
      <c r="K16" s="25"/>
      <c r="L16" s="25"/>
      <c r="M16" s="35"/>
      <c r="N16" s="35"/>
      <c r="O16" s="25"/>
      <c r="P16" s="25"/>
      <c r="Q16" s="22"/>
      <c r="R16" s="22"/>
      <c r="S16" s="22"/>
      <c r="T16" s="31">
        <v>0</v>
      </c>
      <c r="U16" s="31">
        <v>0</v>
      </c>
      <c r="V16" s="31">
        <v>0</v>
      </c>
      <c r="W16" s="31">
        <v>0</v>
      </c>
      <c r="X16" s="31">
        <v>0</v>
      </c>
      <c r="Y16" s="31">
        <v>9</v>
      </c>
      <c r="Z16" s="31">
        <v>0</v>
      </c>
      <c r="AA16" s="31">
        <v>0</v>
      </c>
      <c r="AB16" s="31">
        <v>0</v>
      </c>
      <c r="AC16" s="31">
        <v>0</v>
      </c>
    </row>
    <row r="17" spans="1:29">
      <c r="A17" s="11">
        <v>209</v>
      </c>
      <c r="B17" s="115" t="str">
        <f>'ST-I'!B17</f>
        <v>SCT15CS009</v>
      </c>
      <c r="C17" s="121" t="str">
        <f>'ST-I'!C17</f>
        <v>ANJANA S M</v>
      </c>
      <c r="D17" s="6"/>
      <c r="E17" s="118">
        <v>9</v>
      </c>
      <c r="F17" s="102"/>
      <c r="G17" s="102"/>
      <c r="H17" s="124"/>
      <c r="I17" s="102"/>
      <c r="J17" s="101"/>
      <c r="K17" s="25"/>
      <c r="L17" s="25"/>
      <c r="M17" s="35"/>
      <c r="N17" s="35"/>
      <c r="O17" s="25"/>
      <c r="P17" s="25"/>
      <c r="Q17" s="22"/>
      <c r="R17" s="22"/>
      <c r="S17" s="22"/>
      <c r="T17" s="31">
        <v>0</v>
      </c>
      <c r="U17" s="31">
        <v>0</v>
      </c>
      <c r="V17" s="31">
        <v>0</v>
      </c>
      <c r="W17" s="31">
        <v>0</v>
      </c>
      <c r="X17" s="31">
        <v>0</v>
      </c>
      <c r="Y17" s="31">
        <v>9</v>
      </c>
      <c r="Z17" s="31">
        <v>0</v>
      </c>
      <c r="AA17" s="31">
        <v>0</v>
      </c>
      <c r="AB17" s="31">
        <v>0</v>
      </c>
      <c r="AC17" s="31">
        <v>0</v>
      </c>
    </row>
    <row r="18" spans="1:29">
      <c r="A18" s="11">
        <v>210</v>
      </c>
      <c r="B18" s="115" t="str">
        <f>'ST-I'!B18</f>
        <v>SCT15CS010</v>
      </c>
      <c r="C18" s="121" t="str">
        <f>'ST-I'!C18</f>
        <v>APARNA S</v>
      </c>
      <c r="D18" s="6"/>
      <c r="E18" s="118">
        <v>9</v>
      </c>
      <c r="F18" s="102"/>
      <c r="G18" s="102"/>
      <c r="H18" s="124"/>
      <c r="I18" s="102"/>
      <c r="J18" s="101"/>
      <c r="K18" s="25"/>
      <c r="L18" s="25"/>
      <c r="M18" s="35"/>
      <c r="N18" s="35"/>
      <c r="O18" s="25"/>
      <c r="P18" s="25"/>
      <c r="Q18" s="22"/>
      <c r="R18" s="22"/>
      <c r="S18" s="22"/>
      <c r="T18" s="31">
        <v>0</v>
      </c>
      <c r="U18" s="31">
        <v>0</v>
      </c>
      <c r="V18" s="31">
        <v>0</v>
      </c>
      <c r="W18" s="31">
        <v>0</v>
      </c>
      <c r="X18" s="31">
        <v>0</v>
      </c>
      <c r="Y18" s="31">
        <v>9</v>
      </c>
      <c r="Z18" s="31">
        <v>0</v>
      </c>
      <c r="AA18" s="31">
        <v>0</v>
      </c>
      <c r="AB18" s="31">
        <v>0</v>
      </c>
      <c r="AC18" s="31">
        <v>0</v>
      </c>
    </row>
    <row r="19" spans="1:29">
      <c r="A19" s="11">
        <v>211</v>
      </c>
      <c r="B19" s="115" t="str">
        <f>'ST-I'!B19</f>
        <v>SCT15CS011</v>
      </c>
      <c r="C19" s="121" t="str">
        <f>'ST-I'!C19</f>
        <v>ARAVIND R</v>
      </c>
      <c r="D19" s="6"/>
      <c r="E19" s="118">
        <v>9</v>
      </c>
      <c r="F19" s="102"/>
      <c r="G19" s="102"/>
      <c r="H19" s="124"/>
      <c r="I19" s="102"/>
      <c r="J19" s="101"/>
      <c r="K19" s="25"/>
      <c r="L19" s="25"/>
      <c r="M19" s="35"/>
      <c r="N19" s="35"/>
      <c r="O19" s="25"/>
      <c r="P19" s="25"/>
      <c r="Q19" s="22"/>
      <c r="R19" s="22"/>
      <c r="S19" s="22"/>
      <c r="T19" s="31">
        <v>0</v>
      </c>
      <c r="U19" s="31">
        <v>0</v>
      </c>
      <c r="V19" s="31">
        <v>0</v>
      </c>
      <c r="W19" s="31">
        <v>0</v>
      </c>
      <c r="X19" s="31">
        <v>0</v>
      </c>
      <c r="Y19" s="31">
        <v>9</v>
      </c>
      <c r="Z19" s="31">
        <v>0</v>
      </c>
      <c r="AA19" s="31">
        <v>0</v>
      </c>
      <c r="AB19" s="31">
        <v>0</v>
      </c>
      <c r="AC19" s="31">
        <v>0</v>
      </c>
    </row>
    <row r="20" spans="1:29">
      <c r="A20" s="11">
        <v>212</v>
      </c>
      <c r="B20" s="115" t="str">
        <f>'ST-I'!B20</f>
        <v>SCT15CS012</v>
      </c>
      <c r="C20" s="121" t="str">
        <f>'ST-I'!C20</f>
        <v>ARJUN MURALEEDHARAN</v>
      </c>
      <c r="D20" s="6"/>
      <c r="E20" s="118">
        <v>10</v>
      </c>
      <c r="F20" s="102"/>
      <c r="G20" s="102"/>
      <c r="H20" s="124"/>
      <c r="I20" s="102"/>
      <c r="J20" s="101"/>
      <c r="K20" s="25"/>
      <c r="L20" s="25"/>
      <c r="M20" s="35"/>
      <c r="N20" s="35"/>
      <c r="O20" s="25"/>
      <c r="P20" s="25"/>
      <c r="Q20" s="22"/>
      <c r="R20" s="22"/>
      <c r="S20" s="22"/>
      <c r="T20" s="31">
        <v>0</v>
      </c>
      <c r="U20" s="31">
        <v>0</v>
      </c>
      <c r="V20" s="31">
        <v>0</v>
      </c>
      <c r="W20" s="31">
        <v>0</v>
      </c>
      <c r="X20" s="31">
        <v>0</v>
      </c>
      <c r="Y20" s="31">
        <v>10</v>
      </c>
      <c r="Z20" s="31">
        <v>0</v>
      </c>
      <c r="AA20" s="31">
        <v>0</v>
      </c>
      <c r="AB20" s="31">
        <v>0</v>
      </c>
      <c r="AC20" s="31">
        <v>0</v>
      </c>
    </row>
    <row r="21" spans="1:29">
      <c r="A21" s="11">
        <v>213</v>
      </c>
      <c r="B21" s="115" t="str">
        <f>'ST-I'!B21</f>
        <v>SCT15CS013</v>
      </c>
      <c r="C21" s="121" t="str">
        <f>'ST-I'!C21</f>
        <v>ARJUN C RAMESH</v>
      </c>
      <c r="D21" s="6"/>
      <c r="E21" s="118">
        <v>5</v>
      </c>
      <c r="F21" s="102"/>
      <c r="G21" s="102"/>
      <c r="H21" s="124"/>
      <c r="I21" s="102"/>
      <c r="J21" s="101"/>
      <c r="K21" s="25"/>
      <c r="L21" s="25"/>
      <c r="M21" s="35"/>
      <c r="N21" s="35"/>
      <c r="O21" s="25"/>
      <c r="P21" s="25"/>
      <c r="Q21" s="22"/>
      <c r="R21" s="22"/>
      <c r="S21" s="22"/>
      <c r="T21" s="31">
        <v>0</v>
      </c>
      <c r="U21" s="31">
        <v>0</v>
      </c>
      <c r="V21" s="31">
        <v>0</v>
      </c>
      <c r="W21" s="31">
        <v>0</v>
      </c>
      <c r="X21" s="31">
        <v>0</v>
      </c>
      <c r="Y21" s="31">
        <v>5</v>
      </c>
      <c r="Z21" s="31">
        <v>0</v>
      </c>
      <c r="AA21" s="31">
        <v>0</v>
      </c>
      <c r="AB21" s="31">
        <v>0</v>
      </c>
      <c r="AC21" s="31">
        <v>0</v>
      </c>
    </row>
    <row r="22" spans="1:29">
      <c r="A22" s="11">
        <v>214</v>
      </c>
      <c r="B22" s="115" t="str">
        <f>'ST-I'!B22</f>
        <v>SCT15CS014</v>
      </c>
      <c r="C22" s="121" t="str">
        <f>'ST-I'!C22</f>
        <v>ARUNDHATI KURUP</v>
      </c>
      <c r="D22" s="6"/>
      <c r="E22" s="118">
        <v>5</v>
      </c>
      <c r="F22" s="102"/>
      <c r="G22" s="102"/>
      <c r="H22" s="124"/>
      <c r="I22" s="102"/>
      <c r="J22" s="101"/>
      <c r="K22" s="25"/>
      <c r="L22" s="25"/>
      <c r="M22" s="35"/>
      <c r="N22" s="35"/>
      <c r="O22" s="25"/>
      <c r="P22" s="25"/>
      <c r="Q22" s="22"/>
      <c r="R22" s="22"/>
      <c r="S22" s="22"/>
      <c r="T22" s="31">
        <v>0</v>
      </c>
      <c r="U22" s="31">
        <v>0</v>
      </c>
      <c r="V22" s="31">
        <v>0</v>
      </c>
      <c r="W22" s="31">
        <v>0</v>
      </c>
      <c r="X22" s="31">
        <v>0</v>
      </c>
      <c r="Y22" s="31">
        <v>5</v>
      </c>
      <c r="Z22" s="31">
        <v>0</v>
      </c>
      <c r="AA22" s="31">
        <v>0</v>
      </c>
      <c r="AB22" s="31">
        <v>0</v>
      </c>
      <c r="AC22" s="31">
        <v>0</v>
      </c>
    </row>
    <row r="23" spans="1:29">
      <c r="A23" s="11">
        <v>215</v>
      </c>
      <c r="B23" s="115" t="str">
        <f>'ST-I'!B23</f>
        <v>SCT15CS015</v>
      </c>
      <c r="C23" s="121" t="str">
        <f>'ST-I'!C23</f>
        <v>ATHIRA S PILLAI</v>
      </c>
      <c r="D23" s="6"/>
      <c r="E23" s="118">
        <v>10</v>
      </c>
      <c r="F23" s="102"/>
      <c r="G23" s="102"/>
      <c r="H23" s="124"/>
      <c r="I23" s="102"/>
      <c r="J23" s="101"/>
      <c r="K23" s="25"/>
      <c r="L23" s="25"/>
      <c r="M23" s="35"/>
      <c r="N23" s="35"/>
      <c r="O23" s="25"/>
      <c r="P23" s="25"/>
      <c r="Q23" s="22"/>
      <c r="R23" s="22"/>
      <c r="S23" s="22"/>
      <c r="T23" s="31">
        <v>0</v>
      </c>
      <c r="U23" s="31">
        <v>0</v>
      </c>
      <c r="V23" s="31">
        <v>0</v>
      </c>
      <c r="W23" s="31">
        <v>0</v>
      </c>
      <c r="X23" s="31">
        <v>0</v>
      </c>
      <c r="Y23" s="31">
        <v>10</v>
      </c>
      <c r="Z23" s="31">
        <v>0</v>
      </c>
      <c r="AA23" s="31">
        <v>0</v>
      </c>
      <c r="AB23" s="31">
        <v>0</v>
      </c>
      <c r="AC23" s="31">
        <v>0</v>
      </c>
    </row>
    <row r="24" spans="1:29">
      <c r="A24" s="11">
        <v>216</v>
      </c>
      <c r="B24" s="115" t="str">
        <f>'ST-I'!B24</f>
        <v>SCT15CS016</v>
      </c>
      <c r="C24" s="121" t="str">
        <f>'ST-I'!C24</f>
        <v>ATHUL RAJ</v>
      </c>
      <c r="D24" s="6"/>
      <c r="E24" s="118">
        <v>10</v>
      </c>
      <c r="F24" s="102"/>
      <c r="G24" s="102"/>
      <c r="H24" s="124"/>
      <c r="I24" s="102"/>
      <c r="J24" s="101"/>
      <c r="K24" s="25"/>
      <c r="L24" s="25"/>
      <c r="M24" s="35"/>
      <c r="N24" s="35"/>
      <c r="O24" s="25"/>
      <c r="P24" s="25"/>
      <c r="Q24" s="22"/>
      <c r="R24" s="22"/>
      <c r="S24" s="22"/>
      <c r="T24" s="31">
        <v>0</v>
      </c>
      <c r="U24" s="31">
        <v>0</v>
      </c>
      <c r="V24" s="31">
        <v>0</v>
      </c>
      <c r="W24" s="31">
        <v>0</v>
      </c>
      <c r="X24" s="31">
        <v>0</v>
      </c>
      <c r="Y24" s="31">
        <v>10</v>
      </c>
      <c r="Z24" s="31">
        <v>0</v>
      </c>
      <c r="AA24" s="31">
        <v>0</v>
      </c>
      <c r="AB24" s="31">
        <v>0</v>
      </c>
      <c r="AC24" s="31">
        <v>0</v>
      </c>
    </row>
    <row r="25" spans="1:29">
      <c r="A25" s="11">
        <v>217</v>
      </c>
      <c r="B25" s="115" t="str">
        <f>'ST-I'!B25</f>
        <v>SCT15CS017</v>
      </c>
      <c r="C25" s="121" t="str">
        <f>'ST-I'!C25</f>
        <v>ATHULYA AL</v>
      </c>
      <c r="D25" s="6"/>
      <c r="E25" s="118">
        <v>5</v>
      </c>
      <c r="F25" s="102"/>
      <c r="G25" s="102"/>
      <c r="H25" s="124"/>
      <c r="I25" s="102"/>
      <c r="J25" s="101"/>
      <c r="K25" s="25"/>
      <c r="L25" s="25"/>
      <c r="M25" s="35"/>
      <c r="N25" s="35"/>
      <c r="O25" s="25"/>
      <c r="P25" s="25"/>
      <c r="Q25" s="22"/>
      <c r="R25" s="22"/>
      <c r="S25" s="22"/>
      <c r="T25" s="31">
        <v>0</v>
      </c>
      <c r="U25" s="31">
        <v>0</v>
      </c>
      <c r="V25" s="31">
        <v>0</v>
      </c>
      <c r="W25" s="31">
        <v>0</v>
      </c>
      <c r="X25" s="31">
        <v>0</v>
      </c>
      <c r="Y25" s="31">
        <v>5</v>
      </c>
      <c r="Z25" s="31">
        <v>0</v>
      </c>
      <c r="AA25" s="31">
        <v>0</v>
      </c>
      <c r="AB25" s="31">
        <v>0</v>
      </c>
      <c r="AC25" s="31">
        <v>0</v>
      </c>
    </row>
    <row r="26" spans="1:29">
      <c r="A26" s="11">
        <v>218</v>
      </c>
      <c r="B26" s="115" t="str">
        <f>'ST-I'!B26</f>
        <v>SCT15CS018</v>
      </c>
      <c r="C26" s="121" t="str">
        <f>'ST-I'!C26</f>
        <v>CYRIL SUNNY</v>
      </c>
      <c r="D26" s="6"/>
      <c r="E26" s="118">
        <v>9</v>
      </c>
      <c r="F26" s="102"/>
      <c r="G26" s="102"/>
      <c r="H26" s="124"/>
      <c r="I26" s="102"/>
      <c r="J26" s="101"/>
      <c r="K26" s="25"/>
      <c r="L26" s="25"/>
      <c r="M26" s="35"/>
      <c r="N26" s="35"/>
      <c r="O26" s="25"/>
      <c r="P26" s="25"/>
      <c r="Q26" s="22"/>
      <c r="R26" s="22"/>
      <c r="S26" s="22"/>
      <c r="T26" s="31">
        <v>0</v>
      </c>
      <c r="U26" s="31">
        <v>0</v>
      </c>
      <c r="V26" s="31">
        <v>0</v>
      </c>
      <c r="W26" s="31">
        <v>0</v>
      </c>
      <c r="X26" s="31">
        <v>0</v>
      </c>
      <c r="Y26" s="31">
        <v>9</v>
      </c>
      <c r="Z26" s="31">
        <v>0</v>
      </c>
      <c r="AA26" s="31">
        <v>0</v>
      </c>
      <c r="AB26" s="31">
        <v>0</v>
      </c>
      <c r="AC26" s="31">
        <v>0</v>
      </c>
    </row>
    <row r="27" spans="1:29">
      <c r="A27" s="11">
        <v>219</v>
      </c>
      <c r="B27" s="115" t="str">
        <f>'ST-I'!B27</f>
        <v>SCT15CS019</v>
      </c>
      <c r="C27" s="121" t="str">
        <f>'ST-I'!C27</f>
        <v>DEEPAK R B</v>
      </c>
      <c r="D27" s="6"/>
      <c r="E27" s="118">
        <v>10</v>
      </c>
      <c r="F27" s="102"/>
      <c r="G27" s="102"/>
      <c r="H27" s="124"/>
      <c r="I27" s="102"/>
      <c r="J27" s="101"/>
      <c r="K27" s="25"/>
      <c r="L27" s="25"/>
      <c r="M27" s="35"/>
      <c r="N27" s="35"/>
      <c r="O27" s="25"/>
      <c r="P27" s="25"/>
      <c r="Q27" s="22"/>
      <c r="R27" s="22"/>
      <c r="S27" s="22"/>
      <c r="T27" s="31">
        <v>0</v>
      </c>
      <c r="U27" s="31">
        <v>0</v>
      </c>
      <c r="V27" s="31">
        <v>0</v>
      </c>
      <c r="W27" s="31">
        <v>0</v>
      </c>
      <c r="X27" s="31">
        <v>0</v>
      </c>
      <c r="Y27" s="31">
        <v>10</v>
      </c>
      <c r="Z27" s="31">
        <v>0</v>
      </c>
      <c r="AA27" s="31">
        <v>0</v>
      </c>
      <c r="AB27" s="31">
        <v>0</v>
      </c>
      <c r="AC27" s="31">
        <v>0</v>
      </c>
    </row>
    <row r="28" spans="1:29">
      <c r="A28" s="11">
        <v>220</v>
      </c>
      <c r="B28" s="115" t="str">
        <f>'ST-I'!B28</f>
        <v>SCT15CS020</v>
      </c>
      <c r="C28" s="121" t="str">
        <f>'ST-I'!C28</f>
        <v>DEEPAK S S</v>
      </c>
      <c r="D28" s="6"/>
      <c r="E28" s="118">
        <v>10</v>
      </c>
      <c r="F28" s="102"/>
      <c r="G28" s="102"/>
      <c r="H28" s="124"/>
      <c r="I28" s="102"/>
      <c r="J28" s="101"/>
      <c r="K28" s="25"/>
      <c r="L28" s="25"/>
      <c r="M28" s="35"/>
      <c r="N28" s="35"/>
      <c r="O28" s="35"/>
      <c r="P28" s="35"/>
      <c r="Q28" s="22"/>
      <c r="R28" s="22"/>
      <c r="S28" s="22"/>
      <c r="T28" s="31">
        <v>0</v>
      </c>
      <c r="U28" s="31">
        <v>0</v>
      </c>
      <c r="V28" s="31">
        <v>0</v>
      </c>
      <c r="W28" s="31">
        <v>0</v>
      </c>
      <c r="X28" s="31">
        <v>0</v>
      </c>
      <c r="Y28" s="31">
        <v>10</v>
      </c>
      <c r="Z28" s="31">
        <v>0</v>
      </c>
      <c r="AA28" s="31">
        <v>0</v>
      </c>
      <c r="AB28" s="31">
        <v>0</v>
      </c>
      <c r="AC28" s="31">
        <v>0</v>
      </c>
    </row>
    <row r="29" spans="1:29">
      <c r="A29" s="11">
        <v>221</v>
      </c>
      <c r="B29" s="115" t="str">
        <f>'ST-I'!B29</f>
        <v>SCT15CS021</v>
      </c>
      <c r="C29" s="121" t="str">
        <f>'ST-I'!C29</f>
        <v>DISHA D MAJITHIA</v>
      </c>
      <c r="D29" s="6"/>
      <c r="E29" s="118">
        <v>9</v>
      </c>
      <c r="F29" s="102"/>
      <c r="G29" s="102"/>
      <c r="H29" s="124"/>
      <c r="I29" s="102"/>
      <c r="J29" s="101"/>
      <c r="K29" s="25"/>
      <c r="L29" s="25"/>
      <c r="M29" s="35"/>
      <c r="N29" s="35"/>
      <c r="O29" s="25"/>
      <c r="P29" s="25"/>
      <c r="Q29" s="22"/>
      <c r="R29" s="22"/>
      <c r="S29" s="22"/>
      <c r="T29" s="31">
        <v>0</v>
      </c>
      <c r="U29" s="31">
        <v>0</v>
      </c>
      <c r="V29" s="31">
        <v>0</v>
      </c>
      <c r="W29" s="31">
        <v>0</v>
      </c>
      <c r="X29" s="31">
        <v>0</v>
      </c>
      <c r="Y29" s="31">
        <v>9</v>
      </c>
      <c r="Z29" s="31">
        <v>0</v>
      </c>
      <c r="AA29" s="31">
        <v>0</v>
      </c>
      <c r="AB29" s="31">
        <v>0</v>
      </c>
      <c r="AC29" s="31">
        <v>0</v>
      </c>
    </row>
    <row r="30" spans="1:29">
      <c r="A30" s="11">
        <v>222</v>
      </c>
      <c r="B30" s="115" t="str">
        <f>'ST-I'!B30</f>
        <v>SCT15CS022</v>
      </c>
      <c r="C30" s="121" t="str">
        <f>'ST-I'!C30</f>
        <v>EBIN J</v>
      </c>
      <c r="D30" s="6"/>
      <c r="E30" s="118">
        <v>10</v>
      </c>
      <c r="F30" s="102"/>
      <c r="G30" s="102"/>
      <c r="H30" s="124"/>
      <c r="I30" s="102"/>
      <c r="J30" s="101"/>
      <c r="K30" s="25"/>
      <c r="L30" s="25"/>
      <c r="M30" s="35"/>
      <c r="N30" s="35"/>
      <c r="O30" s="25"/>
      <c r="P30" s="25"/>
      <c r="Q30" s="22"/>
      <c r="R30" s="22"/>
      <c r="S30" s="22"/>
      <c r="T30" s="31">
        <v>0</v>
      </c>
      <c r="U30" s="31">
        <v>0</v>
      </c>
      <c r="V30" s="31">
        <v>0</v>
      </c>
      <c r="W30" s="31">
        <v>0</v>
      </c>
      <c r="X30" s="31">
        <v>0</v>
      </c>
      <c r="Y30" s="31">
        <v>10</v>
      </c>
      <c r="Z30" s="31">
        <v>0</v>
      </c>
      <c r="AA30" s="31">
        <v>0</v>
      </c>
      <c r="AB30" s="31">
        <v>0</v>
      </c>
      <c r="AC30" s="31">
        <v>0</v>
      </c>
    </row>
    <row r="31" spans="1:29">
      <c r="A31" s="11">
        <v>223</v>
      </c>
      <c r="B31" s="115" t="str">
        <f>'ST-I'!B31</f>
        <v>SCT15CS023</v>
      </c>
      <c r="C31" s="121" t="str">
        <f>'ST-I'!C31</f>
        <v>FAISAL MOHAMMED A</v>
      </c>
      <c r="D31" s="6"/>
      <c r="E31" s="118">
        <v>9</v>
      </c>
      <c r="F31" s="102"/>
      <c r="G31" s="102"/>
      <c r="H31" s="124"/>
      <c r="I31" s="102"/>
      <c r="J31" s="101"/>
      <c r="K31" s="25"/>
      <c r="L31" s="25"/>
      <c r="M31" s="35"/>
      <c r="N31" s="35"/>
      <c r="O31" s="25"/>
      <c r="P31" s="25"/>
      <c r="Q31" s="22"/>
      <c r="R31" s="22"/>
      <c r="S31" s="22"/>
      <c r="T31" s="31">
        <v>0</v>
      </c>
      <c r="U31" s="31">
        <v>0</v>
      </c>
      <c r="V31" s="31">
        <v>0</v>
      </c>
      <c r="W31" s="31">
        <v>0</v>
      </c>
      <c r="X31" s="31">
        <v>0</v>
      </c>
      <c r="Y31" s="31">
        <v>9</v>
      </c>
      <c r="Z31" s="31">
        <v>0</v>
      </c>
      <c r="AA31" s="31">
        <v>0</v>
      </c>
      <c r="AB31" s="31">
        <v>0</v>
      </c>
      <c r="AC31" s="31">
        <v>0</v>
      </c>
    </row>
    <row r="32" spans="1:29">
      <c r="A32" s="11">
        <v>224</v>
      </c>
      <c r="B32" s="115" t="str">
        <f>'ST-I'!B32</f>
        <v>SCT15CS024</v>
      </c>
      <c r="C32" s="121" t="str">
        <f>'ST-I'!C32</f>
        <v>GAYATHRI S</v>
      </c>
      <c r="D32" s="6"/>
      <c r="E32" s="118">
        <v>10</v>
      </c>
      <c r="F32" s="102"/>
      <c r="G32" s="102"/>
      <c r="H32" s="124"/>
      <c r="I32" s="102"/>
      <c r="J32" s="101"/>
      <c r="K32" s="25"/>
      <c r="L32" s="25"/>
      <c r="M32" s="35"/>
      <c r="N32" s="35"/>
      <c r="O32" s="35"/>
      <c r="P32" s="35"/>
      <c r="Q32" s="22"/>
      <c r="R32" s="22"/>
      <c r="S32" s="22"/>
      <c r="T32" s="31">
        <v>0</v>
      </c>
      <c r="U32" s="31">
        <v>0</v>
      </c>
      <c r="V32" s="31">
        <v>0</v>
      </c>
      <c r="W32" s="31">
        <v>0</v>
      </c>
      <c r="X32" s="31">
        <v>0</v>
      </c>
      <c r="Y32" s="31">
        <v>10</v>
      </c>
      <c r="Z32" s="31">
        <v>0</v>
      </c>
      <c r="AA32" s="31">
        <v>0</v>
      </c>
      <c r="AB32" s="31">
        <v>0</v>
      </c>
      <c r="AC32" s="31">
        <v>0</v>
      </c>
    </row>
    <row r="33" spans="1:29">
      <c r="A33" s="11">
        <v>225</v>
      </c>
      <c r="B33" s="115" t="str">
        <f>'ST-I'!B33</f>
        <v>SCT15CS025</v>
      </c>
      <c r="C33" s="121" t="str">
        <f>'ST-I'!C33</f>
        <v>GOPIKA M</v>
      </c>
      <c r="D33" s="6"/>
      <c r="E33" s="118">
        <v>9</v>
      </c>
      <c r="F33" s="102"/>
      <c r="G33" s="102"/>
      <c r="H33" s="124"/>
      <c r="I33" s="102"/>
      <c r="J33" s="101"/>
      <c r="K33" s="25"/>
      <c r="L33" s="25"/>
      <c r="M33" s="35"/>
      <c r="N33" s="35"/>
      <c r="O33" s="35"/>
      <c r="P33" s="35"/>
      <c r="Q33" s="22"/>
      <c r="R33" s="22"/>
      <c r="S33" s="22"/>
      <c r="T33" s="31">
        <v>0</v>
      </c>
      <c r="U33" s="31">
        <v>0</v>
      </c>
      <c r="V33" s="31">
        <v>0</v>
      </c>
      <c r="W33" s="31">
        <v>0</v>
      </c>
      <c r="X33" s="31">
        <v>0</v>
      </c>
      <c r="Y33" s="31">
        <v>9</v>
      </c>
      <c r="Z33" s="31">
        <v>0</v>
      </c>
      <c r="AA33" s="31">
        <v>0</v>
      </c>
      <c r="AB33" s="31">
        <v>0</v>
      </c>
      <c r="AC33" s="31">
        <v>0</v>
      </c>
    </row>
    <row r="34" spans="1:29">
      <c r="A34" s="11">
        <v>226</v>
      </c>
      <c r="B34" s="115" t="str">
        <f>'ST-I'!B34</f>
        <v>SCT15CS026</v>
      </c>
      <c r="C34" s="121" t="str">
        <f>'ST-I'!C34</f>
        <v>GOURY JYOTHISH</v>
      </c>
      <c r="D34" s="6"/>
      <c r="E34" s="118">
        <v>9</v>
      </c>
      <c r="F34" s="102"/>
      <c r="G34" s="102"/>
      <c r="H34" s="124"/>
      <c r="I34" s="102"/>
      <c r="J34" s="101"/>
      <c r="K34" s="25"/>
      <c r="L34" s="25"/>
      <c r="M34" s="35"/>
      <c r="N34" s="35"/>
      <c r="O34" s="25"/>
      <c r="P34" s="25"/>
      <c r="Q34" s="22"/>
      <c r="R34" s="22"/>
      <c r="S34" s="22"/>
      <c r="T34" s="31">
        <v>0</v>
      </c>
      <c r="U34" s="31">
        <v>0</v>
      </c>
      <c r="V34" s="31">
        <v>0</v>
      </c>
      <c r="W34" s="31">
        <v>0</v>
      </c>
      <c r="X34" s="31">
        <v>0</v>
      </c>
      <c r="Y34" s="31">
        <v>9</v>
      </c>
      <c r="Z34" s="31">
        <v>0</v>
      </c>
      <c r="AA34" s="31">
        <v>0</v>
      </c>
      <c r="AB34" s="31">
        <v>0</v>
      </c>
      <c r="AC34" s="31">
        <v>0</v>
      </c>
    </row>
    <row r="35" spans="1:29">
      <c r="A35" s="11">
        <v>227</v>
      </c>
      <c r="B35" s="115" t="str">
        <f>'ST-I'!B35</f>
        <v>SCT15CS027</v>
      </c>
      <c r="C35" s="121" t="str">
        <f>'ST-I'!C35</f>
        <v>GOVIND G S</v>
      </c>
      <c r="D35" s="6"/>
      <c r="E35" s="118">
        <v>9</v>
      </c>
      <c r="F35" s="102"/>
      <c r="G35" s="102"/>
      <c r="H35" s="124"/>
      <c r="I35" s="102"/>
      <c r="J35" s="101"/>
      <c r="K35" s="25"/>
      <c r="L35" s="25"/>
      <c r="M35" s="35"/>
      <c r="N35" s="35"/>
      <c r="O35" s="25"/>
      <c r="P35" s="25"/>
      <c r="Q35" s="22"/>
      <c r="R35" s="22"/>
      <c r="S35" s="22"/>
      <c r="T35" s="31">
        <v>0</v>
      </c>
      <c r="U35" s="31">
        <v>0</v>
      </c>
      <c r="V35" s="31">
        <v>0</v>
      </c>
      <c r="W35" s="31">
        <v>0</v>
      </c>
      <c r="X35" s="31">
        <v>0</v>
      </c>
      <c r="Y35" s="31">
        <v>9</v>
      </c>
      <c r="Z35" s="31">
        <v>0</v>
      </c>
      <c r="AA35" s="31">
        <v>0</v>
      </c>
      <c r="AB35" s="31">
        <v>0</v>
      </c>
      <c r="AC35" s="31">
        <v>0</v>
      </c>
    </row>
    <row r="36" spans="1:29">
      <c r="A36" s="11">
        <v>228</v>
      </c>
      <c r="B36" s="115" t="str">
        <f>'ST-I'!B36</f>
        <v>SCT15CS028</v>
      </c>
      <c r="C36" s="121" t="str">
        <f>'ST-I'!C36</f>
        <v>GOVIND P</v>
      </c>
      <c r="D36" s="6"/>
      <c r="E36" s="118">
        <v>9</v>
      </c>
      <c r="F36" s="102"/>
      <c r="G36" s="102"/>
      <c r="H36" s="124"/>
      <c r="I36" s="102"/>
      <c r="J36" s="101"/>
      <c r="K36" s="25"/>
      <c r="L36" s="25"/>
      <c r="M36" s="35"/>
      <c r="N36" s="35"/>
      <c r="O36" s="25"/>
      <c r="P36" s="25"/>
      <c r="Q36" s="22"/>
      <c r="R36" s="22"/>
      <c r="S36" s="22"/>
      <c r="T36" s="31">
        <v>0</v>
      </c>
      <c r="U36" s="31">
        <v>0</v>
      </c>
      <c r="V36" s="31">
        <v>0</v>
      </c>
      <c r="W36" s="31">
        <v>0</v>
      </c>
      <c r="X36" s="31">
        <v>0</v>
      </c>
      <c r="Y36" s="31">
        <v>9</v>
      </c>
      <c r="Z36" s="31">
        <v>0</v>
      </c>
      <c r="AA36" s="31">
        <v>0</v>
      </c>
      <c r="AB36" s="31">
        <v>0</v>
      </c>
      <c r="AC36" s="31">
        <v>0</v>
      </c>
    </row>
    <row r="37" spans="1:29">
      <c r="A37" s="11">
        <v>229</v>
      </c>
      <c r="B37" s="115" t="str">
        <f>'ST-I'!B37</f>
        <v>SCT15CS029</v>
      </c>
      <c r="C37" s="121" t="str">
        <f>'ST-I'!C37</f>
        <v>HIMA BINDU BHARDWAJ</v>
      </c>
      <c r="D37" s="6"/>
      <c r="E37" s="118">
        <v>9</v>
      </c>
      <c r="F37" s="102"/>
      <c r="G37" s="102"/>
      <c r="H37" s="124"/>
      <c r="I37" s="102"/>
      <c r="J37" s="101"/>
      <c r="K37" s="25"/>
      <c r="L37" s="25"/>
      <c r="M37" s="35"/>
      <c r="N37" s="35"/>
      <c r="O37" s="25"/>
      <c r="P37" s="25"/>
      <c r="Q37" s="22"/>
      <c r="R37" s="22"/>
      <c r="S37" s="22"/>
      <c r="T37" s="31">
        <v>0</v>
      </c>
      <c r="U37" s="31">
        <v>0</v>
      </c>
      <c r="V37" s="31">
        <v>0</v>
      </c>
      <c r="W37" s="31">
        <v>0</v>
      </c>
      <c r="X37" s="31">
        <v>0</v>
      </c>
      <c r="Y37" s="31">
        <v>9</v>
      </c>
      <c r="Z37" s="31">
        <v>0</v>
      </c>
      <c r="AA37" s="31">
        <v>0</v>
      </c>
      <c r="AB37" s="31">
        <v>0</v>
      </c>
      <c r="AC37" s="31">
        <v>0</v>
      </c>
    </row>
    <row r="38" spans="1:29">
      <c r="A38" s="11">
        <v>230</v>
      </c>
      <c r="B38" s="115" t="str">
        <f>'ST-I'!B38</f>
        <v>SCT15CS030</v>
      </c>
      <c r="C38" s="121" t="str">
        <f>'ST-I'!C38</f>
        <v>J S MALINI</v>
      </c>
      <c r="D38" s="6"/>
      <c r="E38" s="118">
        <v>9</v>
      </c>
      <c r="F38" s="102"/>
      <c r="G38" s="102"/>
      <c r="H38" s="124"/>
      <c r="I38" s="102"/>
      <c r="J38" s="101"/>
      <c r="K38" s="25"/>
      <c r="L38" s="25"/>
      <c r="M38" s="35"/>
      <c r="N38" s="35"/>
      <c r="O38" s="35"/>
      <c r="P38" s="35"/>
      <c r="Q38" s="22"/>
      <c r="R38" s="22"/>
      <c r="S38" s="22"/>
      <c r="T38" s="31">
        <v>0</v>
      </c>
      <c r="U38" s="31">
        <v>0</v>
      </c>
      <c r="V38" s="31">
        <v>0</v>
      </c>
      <c r="W38" s="31">
        <v>0</v>
      </c>
      <c r="X38" s="31">
        <v>0</v>
      </c>
      <c r="Y38" s="31">
        <v>9</v>
      </c>
      <c r="Z38" s="31">
        <v>0</v>
      </c>
      <c r="AA38" s="31">
        <v>0</v>
      </c>
      <c r="AB38" s="31">
        <v>0</v>
      </c>
      <c r="AC38" s="31">
        <v>0</v>
      </c>
    </row>
    <row r="39" spans="1:29">
      <c r="A39" s="11">
        <v>231</v>
      </c>
      <c r="B39" s="115" t="str">
        <f>'ST-I'!B39</f>
        <v>SCT15CS031</v>
      </c>
      <c r="C39" s="121" t="str">
        <f>'ST-I'!C39</f>
        <v>JEBBY JOSEPH</v>
      </c>
      <c r="D39" s="6"/>
      <c r="E39" s="118">
        <v>10</v>
      </c>
      <c r="F39" s="102"/>
      <c r="G39" s="102"/>
      <c r="H39" s="124"/>
      <c r="I39" s="102"/>
      <c r="J39" s="101"/>
      <c r="K39" s="25"/>
      <c r="L39" s="25"/>
      <c r="M39" s="35"/>
      <c r="N39" s="35"/>
      <c r="O39" s="25"/>
      <c r="P39" s="25"/>
      <c r="Q39" s="22"/>
      <c r="R39" s="22"/>
      <c r="S39" s="22"/>
      <c r="T39" s="31">
        <v>0</v>
      </c>
      <c r="U39" s="31">
        <v>0</v>
      </c>
      <c r="V39" s="31">
        <v>0</v>
      </c>
      <c r="W39" s="31">
        <v>0</v>
      </c>
      <c r="X39" s="31">
        <v>0</v>
      </c>
      <c r="Y39" s="31">
        <v>10</v>
      </c>
      <c r="Z39" s="31">
        <v>0</v>
      </c>
      <c r="AA39" s="31">
        <v>0</v>
      </c>
      <c r="AB39" s="31">
        <v>0</v>
      </c>
      <c r="AC39" s="31">
        <v>0</v>
      </c>
    </row>
    <row r="40" spans="1:29">
      <c r="A40" s="11">
        <v>232</v>
      </c>
      <c r="B40" s="115" t="str">
        <f>'ST-I'!B40</f>
        <v>SCT15CS032</v>
      </c>
      <c r="C40" s="121" t="str">
        <f>'ST-I'!C40</f>
        <v>JISO K JOY</v>
      </c>
      <c r="D40" s="6"/>
      <c r="E40" s="118">
        <v>9</v>
      </c>
      <c r="F40" s="102"/>
      <c r="G40" s="102"/>
      <c r="H40" s="124"/>
      <c r="I40" s="102"/>
      <c r="J40" s="101"/>
      <c r="K40" s="25"/>
      <c r="L40" s="25"/>
      <c r="M40" s="35"/>
      <c r="N40" s="35"/>
      <c r="O40" s="25"/>
      <c r="P40" s="25"/>
      <c r="Q40" s="22"/>
      <c r="R40" s="22"/>
      <c r="S40" s="22"/>
      <c r="T40" s="31">
        <v>0</v>
      </c>
      <c r="U40" s="31">
        <v>0</v>
      </c>
      <c r="V40" s="31">
        <v>0</v>
      </c>
      <c r="W40" s="31">
        <v>0</v>
      </c>
      <c r="X40" s="31">
        <v>0</v>
      </c>
      <c r="Y40" s="31">
        <v>9</v>
      </c>
      <c r="Z40" s="31">
        <v>0</v>
      </c>
      <c r="AA40" s="31">
        <v>0</v>
      </c>
      <c r="AB40" s="31">
        <v>0</v>
      </c>
      <c r="AC40" s="31">
        <v>0</v>
      </c>
    </row>
    <row r="41" spans="1:29">
      <c r="A41" s="11">
        <v>233</v>
      </c>
      <c r="B41" s="115" t="str">
        <f>'ST-I'!B41</f>
        <v>SCT15CS033</v>
      </c>
      <c r="C41" s="121" t="str">
        <f>'ST-I'!C41</f>
        <v>KANNAN K D P</v>
      </c>
      <c r="D41" s="6"/>
      <c r="E41" s="118">
        <v>9</v>
      </c>
      <c r="F41" s="102"/>
      <c r="G41" s="102"/>
      <c r="H41" s="124"/>
      <c r="I41" s="102"/>
      <c r="J41" s="101"/>
      <c r="K41" s="25"/>
      <c r="L41" s="25"/>
      <c r="M41" s="35"/>
      <c r="N41" s="35"/>
      <c r="O41" s="25"/>
      <c r="P41" s="25"/>
      <c r="Q41" s="22"/>
      <c r="R41" s="22"/>
      <c r="S41" s="22"/>
      <c r="T41" s="31">
        <v>0</v>
      </c>
      <c r="U41" s="31">
        <v>0</v>
      </c>
      <c r="V41" s="31">
        <v>0</v>
      </c>
      <c r="W41" s="31">
        <v>0</v>
      </c>
      <c r="X41" s="31">
        <v>0</v>
      </c>
      <c r="Y41" s="31">
        <v>9</v>
      </c>
      <c r="Z41" s="31">
        <v>0</v>
      </c>
      <c r="AA41" s="31">
        <v>0</v>
      </c>
      <c r="AB41" s="31">
        <v>0</v>
      </c>
      <c r="AC41" s="31">
        <v>0</v>
      </c>
    </row>
    <row r="42" spans="1:29">
      <c r="A42" s="11">
        <v>234</v>
      </c>
      <c r="B42" s="115" t="str">
        <f>'ST-I'!B42</f>
        <v>SCT15CS034</v>
      </c>
      <c r="C42" s="121" t="str">
        <f>'ST-I'!C42</f>
        <v>KARTHIKA KRISHNA</v>
      </c>
      <c r="D42" s="6"/>
      <c r="E42" s="118">
        <v>9</v>
      </c>
      <c r="F42" s="102"/>
      <c r="G42" s="102"/>
      <c r="H42" s="124"/>
      <c r="I42" s="102"/>
      <c r="J42" s="101"/>
      <c r="K42" s="25"/>
      <c r="L42" s="25"/>
      <c r="M42" s="35"/>
      <c r="N42" s="35"/>
      <c r="O42" s="35"/>
      <c r="P42" s="35"/>
      <c r="Q42" s="22"/>
      <c r="R42" s="22"/>
      <c r="S42" s="22"/>
      <c r="T42" s="31">
        <v>0</v>
      </c>
      <c r="U42" s="31">
        <v>0</v>
      </c>
      <c r="V42" s="31">
        <v>0</v>
      </c>
      <c r="W42" s="31">
        <v>0</v>
      </c>
      <c r="X42" s="31">
        <v>0</v>
      </c>
      <c r="Y42" s="31">
        <v>9</v>
      </c>
      <c r="Z42" s="31">
        <v>0</v>
      </c>
      <c r="AA42" s="31">
        <v>0</v>
      </c>
      <c r="AB42" s="31">
        <v>0</v>
      </c>
      <c r="AC42" s="31">
        <v>0</v>
      </c>
    </row>
    <row r="43" spans="1:29">
      <c r="A43" s="11">
        <v>235</v>
      </c>
      <c r="B43" s="115" t="str">
        <f>'ST-I'!B43</f>
        <v>SCT15CS035</v>
      </c>
      <c r="C43" s="121" t="str">
        <f>'ST-I'!C43</f>
        <v>KARTHIKA PRADEEP</v>
      </c>
      <c r="D43" s="6"/>
      <c r="E43" s="118">
        <v>10</v>
      </c>
      <c r="F43" s="102"/>
      <c r="G43" s="102"/>
      <c r="H43" s="124"/>
      <c r="I43" s="102"/>
      <c r="J43" s="101"/>
      <c r="K43" s="25"/>
      <c r="L43" s="25"/>
      <c r="M43" s="35"/>
      <c r="N43" s="35"/>
      <c r="O43" s="25"/>
      <c r="P43" s="25"/>
      <c r="Q43" s="22"/>
      <c r="R43" s="22"/>
      <c r="S43" s="22"/>
      <c r="T43" s="31">
        <v>0</v>
      </c>
      <c r="U43" s="31">
        <v>0</v>
      </c>
      <c r="V43" s="31">
        <v>0</v>
      </c>
      <c r="W43" s="31">
        <v>0</v>
      </c>
      <c r="X43" s="31">
        <v>0</v>
      </c>
      <c r="Y43" s="31">
        <v>10</v>
      </c>
      <c r="Z43" s="31">
        <v>0</v>
      </c>
      <c r="AA43" s="31">
        <v>0</v>
      </c>
      <c r="AB43" s="31">
        <v>0</v>
      </c>
      <c r="AC43" s="31">
        <v>0</v>
      </c>
    </row>
    <row r="44" spans="1:29">
      <c r="A44" s="11">
        <v>236</v>
      </c>
      <c r="B44" s="115" t="str">
        <f>'ST-I'!B44</f>
        <v>SCT15CS036</v>
      </c>
      <c r="C44" s="121" t="str">
        <f>'ST-I'!C44</f>
        <v>KAVYA SHAJU</v>
      </c>
      <c r="D44" s="6"/>
      <c r="E44" s="118">
        <v>9</v>
      </c>
      <c r="F44" s="102"/>
      <c r="G44" s="102"/>
      <c r="H44" s="124"/>
      <c r="I44" s="102"/>
      <c r="J44" s="101"/>
      <c r="K44" s="25"/>
      <c r="L44" s="25"/>
      <c r="M44" s="35"/>
      <c r="N44" s="35"/>
      <c r="O44" s="25"/>
      <c r="P44" s="25"/>
      <c r="Q44" s="22"/>
      <c r="R44" s="22"/>
      <c r="S44" s="22"/>
      <c r="T44" s="31">
        <v>0</v>
      </c>
      <c r="U44" s="31">
        <v>0</v>
      </c>
      <c r="V44" s="31">
        <v>0</v>
      </c>
      <c r="W44" s="31">
        <v>0</v>
      </c>
      <c r="X44" s="31">
        <v>0</v>
      </c>
      <c r="Y44" s="31">
        <v>9</v>
      </c>
      <c r="Z44" s="31">
        <v>0</v>
      </c>
      <c r="AA44" s="31">
        <v>0</v>
      </c>
      <c r="AB44" s="31">
        <v>0</v>
      </c>
      <c r="AC44" s="31">
        <v>0</v>
      </c>
    </row>
    <row r="45" spans="1:29">
      <c r="A45" s="11">
        <v>237</v>
      </c>
      <c r="B45" s="115" t="str">
        <f>'ST-I'!B45</f>
        <v>SCT15CS037</v>
      </c>
      <c r="C45" s="121" t="str">
        <f>'ST-I'!C45</f>
        <v>KRISHNA RAJ R</v>
      </c>
      <c r="D45" s="6"/>
      <c r="E45" s="118">
        <v>9</v>
      </c>
      <c r="F45" s="102"/>
      <c r="G45" s="102"/>
      <c r="H45" s="124"/>
      <c r="I45" s="102"/>
      <c r="J45" s="101"/>
      <c r="K45" s="25"/>
      <c r="L45" s="25"/>
      <c r="M45" s="35"/>
      <c r="N45" s="35"/>
      <c r="O45" s="25"/>
      <c r="P45" s="25"/>
      <c r="Q45" s="22"/>
      <c r="R45" s="22"/>
      <c r="S45" s="22"/>
      <c r="T45" s="31">
        <v>0</v>
      </c>
      <c r="U45" s="31">
        <v>0</v>
      </c>
      <c r="V45" s="31">
        <v>0</v>
      </c>
      <c r="W45" s="31">
        <v>0</v>
      </c>
      <c r="X45" s="31">
        <v>0</v>
      </c>
      <c r="Y45" s="31">
        <v>9</v>
      </c>
      <c r="Z45" s="31">
        <v>0</v>
      </c>
      <c r="AA45" s="31">
        <v>0</v>
      </c>
      <c r="AB45" s="31">
        <v>0</v>
      </c>
      <c r="AC45" s="31">
        <v>0</v>
      </c>
    </row>
    <row r="46" spans="1:29">
      <c r="A46" s="11">
        <v>238</v>
      </c>
      <c r="B46" s="115" t="str">
        <f>'ST-I'!B46</f>
        <v>SCT15CS038</v>
      </c>
      <c r="C46" s="121" t="str">
        <f>'ST-I'!C46</f>
        <v>MAANASY P V</v>
      </c>
      <c r="D46" s="6"/>
      <c r="E46" s="118">
        <v>9</v>
      </c>
      <c r="F46" s="102"/>
      <c r="G46" s="102"/>
      <c r="H46" s="124"/>
      <c r="I46" s="102"/>
      <c r="J46" s="101"/>
      <c r="K46" s="25"/>
      <c r="L46" s="25"/>
      <c r="M46" s="35"/>
      <c r="N46" s="35"/>
      <c r="O46" s="25"/>
      <c r="P46" s="25"/>
      <c r="Q46" s="22"/>
      <c r="R46" s="22"/>
      <c r="S46" s="22"/>
      <c r="T46" s="31">
        <v>0</v>
      </c>
      <c r="U46" s="31">
        <v>0</v>
      </c>
      <c r="V46" s="31">
        <v>0</v>
      </c>
      <c r="W46" s="31">
        <v>0</v>
      </c>
      <c r="X46" s="31">
        <v>0</v>
      </c>
      <c r="Y46" s="31">
        <v>9</v>
      </c>
      <c r="Z46" s="31">
        <v>0</v>
      </c>
      <c r="AA46" s="31">
        <v>0</v>
      </c>
      <c r="AB46" s="31">
        <v>0</v>
      </c>
      <c r="AC46" s="31">
        <v>0</v>
      </c>
    </row>
    <row r="47" spans="1:29">
      <c r="A47" s="11">
        <v>239</v>
      </c>
      <c r="B47" s="115" t="str">
        <f>'ST-I'!B47</f>
        <v>SCT15CS039</v>
      </c>
      <c r="C47" s="121" t="str">
        <f>'ST-I'!C47</f>
        <v>MIDHUNA VIJAYAKUMAR</v>
      </c>
      <c r="D47" s="6"/>
      <c r="E47" s="118">
        <v>9</v>
      </c>
      <c r="F47" s="102"/>
      <c r="G47" s="102"/>
      <c r="H47" s="124"/>
      <c r="I47" s="102"/>
      <c r="J47" s="101"/>
      <c r="K47" s="25"/>
      <c r="L47" s="25"/>
      <c r="M47" s="35"/>
      <c r="N47" s="35"/>
      <c r="O47" s="25"/>
      <c r="P47" s="25"/>
      <c r="Q47" s="22"/>
      <c r="R47" s="22"/>
      <c r="S47" s="22"/>
      <c r="T47" s="31">
        <v>0</v>
      </c>
      <c r="U47" s="31">
        <v>0</v>
      </c>
      <c r="V47" s="31">
        <v>0</v>
      </c>
      <c r="W47" s="31">
        <v>0</v>
      </c>
      <c r="X47" s="31">
        <v>0</v>
      </c>
      <c r="Y47" s="31">
        <v>9</v>
      </c>
      <c r="Z47" s="31">
        <v>0</v>
      </c>
      <c r="AA47" s="31">
        <v>0</v>
      </c>
      <c r="AB47" s="31">
        <v>0</v>
      </c>
      <c r="AC47" s="31">
        <v>0</v>
      </c>
    </row>
    <row r="48" spans="1:29">
      <c r="A48" s="11">
        <v>240</v>
      </c>
      <c r="B48" s="115" t="str">
        <f>'ST-I'!B48</f>
        <v>SCT15CS040</v>
      </c>
      <c r="C48" s="121" t="str">
        <f>'ST-I'!C48</f>
        <v>MUHAMMAD T S</v>
      </c>
      <c r="D48" s="6"/>
      <c r="E48" s="118">
        <v>9</v>
      </c>
      <c r="F48" s="102"/>
      <c r="G48" s="102"/>
      <c r="H48" s="124"/>
      <c r="I48" s="102"/>
      <c r="J48" s="101"/>
      <c r="K48" s="25"/>
      <c r="L48" s="25"/>
      <c r="M48" s="35"/>
      <c r="N48" s="35"/>
      <c r="O48" s="25"/>
      <c r="P48" s="25"/>
      <c r="Q48" s="22"/>
      <c r="R48" s="22"/>
      <c r="S48" s="22"/>
      <c r="T48" s="31">
        <v>0</v>
      </c>
      <c r="U48" s="31">
        <v>0</v>
      </c>
      <c r="V48" s="31">
        <v>0</v>
      </c>
      <c r="W48" s="31">
        <v>0</v>
      </c>
      <c r="X48" s="31">
        <v>0</v>
      </c>
      <c r="Y48" s="31">
        <v>9</v>
      </c>
      <c r="Z48" s="31">
        <v>0</v>
      </c>
      <c r="AA48" s="31">
        <v>0</v>
      </c>
      <c r="AB48" s="31">
        <v>0</v>
      </c>
      <c r="AC48" s="31">
        <v>0</v>
      </c>
    </row>
    <row r="49" spans="1:29">
      <c r="A49" s="11">
        <v>241</v>
      </c>
      <c r="B49" s="115" t="str">
        <f>'ST-I'!B49</f>
        <v>SCT15CS041</v>
      </c>
      <c r="C49" s="121" t="str">
        <f>'ST-I'!C49</f>
        <v>NEVIN BAIJU</v>
      </c>
      <c r="D49" s="6"/>
      <c r="E49" s="118">
        <v>10</v>
      </c>
      <c r="F49" s="102"/>
      <c r="G49" s="102"/>
      <c r="H49" s="124"/>
      <c r="I49" s="102"/>
      <c r="J49" s="101"/>
      <c r="K49" s="25"/>
      <c r="L49" s="25"/>
      <c r="M49" s="35"/>
      <c r="N49" s="35"/>
      <c r="O49" s="25"/>
      <c r="P49" s="25"/>
      <c r="Q49" s="22"/>
      <c r="R49" s="22"/>
      <c r="S49" s="22"/>
      <c r="T49" s="31">
        <v>0</v>
      </c>
      <c r="U49" s="31">
        <v>0</v>
      </c>
      <c r="V49" s="31">
        <v>0</v>
      </c>
      <c r="W49" s="31">
        <v>0</v>
      </c>
      <c r="X49" s="31">
        <v>0</v>
      </c>
      <c r="Y49" s="31">
        <v>10</v>
      </c>
      <c r="Z49" s="31">
        <v>0</v>
      </c>
      <c r="AA49" s="31">
        <v>0</v>
      </c>
      <c r="AB49" s="31">
        <v>0</v>
      </c>
      <c r="AC49" s="31">
        <v>0</v>
      </c>
    </row>
    <row r="50" spans="1:29">
      <c r="A50" s="11">
        <v>242</v>
      </c>
      <c r="B50" s="115" t="str">
        <f>'ST-I'!B50</f>
        <v>SCT15CS042</v>
      </c>
      <c r="C50" s="121" t="str">
        <f>'ST-I'!C50</f>
        <v>NIRANJANA MADHAVAN THAMPI</v>
      </c>
      <c r="D50" s="6"/>
      <c r="E50" s="118">
        <v>10</v>
      </c>
      <c r="F50" s="102"/>
      <c r="G50" s="102"/>
      <c r="H50" s="124"/>
      <c r="I50" s="102"/>
      <c r="J50" s="101"/>
      <c r="K50" s="25"/>
      <c r="L50" s="25"/>
      <c r="M50" s="35"/>
      <c r="N50" s="35"/>
      <c r="O50" s="25"/>
      <c r="P50" s="25"/>
      <c r="Q50" s="22"/>
      <c r="R50" s="22"/>
      <c r="S50" s="22"/>
      <c r="T50" s="31">
        <v>0</v>
      </c>
      <c r="U50" s="31">
        <v>0</v>
      </c>
      <c r="V50" s="31">
        <v>0</v>
      </c>
      <c r="W50" s="31">
        <v>0</v>
      </c>
      <c r="X50" s="31">
        <v>0</v>
      </c>
      <c r="Y50" s="31">
        <v>10</v>
      </c>
      <c r="Z50" s="31">
        <v>0</v>
      </c>
      <c r="AA50" s="31">
        <v>0</v>
      </c>
      <c r="AB50" s="31">
        <v>0</v>
      </c>
      <c r="AC50" s="31">
        <v>0</v>
      </c>
    </row>
    <row r="51" spans="1:29">
      <c r="A51" s="11">
        <v>243</v>
      </c>
      <c r="B51" s="115" t="str">
        <f>'ST-I'!B51</f>
        <v>SCT15CS043</v>
      </c>
      <c r="C51" s="121" t="str">
        <f>'ST-I'!C51</f>
        <v>PRASEETHA KRISHNA J</v>
      </c>
      <c r="D51" s="6"/>
      <c r="E51" s="118">
        <v>9</v>
      </c>
      <c r="F51" s="102"/>
      <c r="G51" s="102"/>
      <c r="H51" s="124"/>
      <c r="I51" s="102"/>
      <c r="J51" s="101"/>
      <c r="K51" s="25"/>
      <c r="L51" s="25"/>
      <c r="M51" s="35"/>
      <c r="N51" s="35"/>
      <c r="O51" s="25"/>
      <c r="P51" s="25"/>
      <c r="Q51" s="22"/>
      <c r="R51" s="22"/>
      <c r="S51" s="22"/>
      <c r="T51" s="31">
        <v>0</v>
      </c>
      <c r="U51" s="31">
        <v>0</v>
      </c>
      <c r="V51" s="31">
        <v>0</v>
      </c>
      <c r="W51" s="31">
        <v>0</v>
      </c>
      <c r="X51" s="31">
        <v>0</v>
      </c>
      <c r="Y51" s="31">
        <v>9</v>
      </c>
      <c r="Z51" s="31">
        <v>0</v>
      </c>
      <c r="AA51" s="31">
        <v>0</v>
      </c>
      <c r="AB51" s="31">
        <v>0</v>
      </c>
      <c r="AC51" s="31">
        <v>0</v>
      </c>
    </row>
    <row r="52" spans="1:29">
      <c r="A52" s="11">
        <v>244</v>
      </c>
      <c r="B52" s="115" t="str">
        <f>'ST-I'!B52</f>
        <v>SCT15CS044</v>
      </c>
      <c r="C52" s="121" t="str">
        <f>'ST-I'!C52</f>
        <v>PRIYANKA GOVIND C V</v>
      </c>
      <c r="D52" s="6"/>
      <c r="E52" s="118">
        <v>9</v>
      </c>
      <c r="F52" s="102"/>
      <c r="G52" s="102"/>
      <c r="H52" s="124"/>
      <c r="I52" s="102"/>
      <c r="J52" s="101"/>
      <c r="K52" s="25"/>
      <c r="L52" s="25"/>
      <c r="M52" s="35"/>
      <c r="N52" s="35"/>
      <c r="O52" s="25"/>
      <c r="P52" s="25"/>
      <c r="Q52" s="22"/>
      <c r="R52" s="22"/>
      <c r="S52" s="22"/>
      <c r="T52" s="31">
        <v>0</v>
      </c>
      <c r="U52" s="31">
        <v>0</v>
      </c>
      <c r="V52" s="31">
        <v>0</v>
      </c>
      <c r="W52" s="31">
        <v>0</v>
      </c>
      <c r="X52" s="31">
        <v>0</v>
      </c>
      <c r="Y52" s="31">
        <v>9</v>
      </c>
      <c r="Z52" s="31">
        <v>0</v>
      </c>
      <c r="AA52" s="31">
        <v>0</v>
      </c>
      <c r="AB52" s="31">
        <v>0</v>
      </c>
      <c r="AC52" s="31">
        <v>0</v>
      </c>
    </row>
    <row r="53" spans="1:29">
      <c r="A53" s="11">
        <v>245</v>
      </c>
      <c r="B53" s="115" t="str">
        <f>'ST-I'!B53</f>
        <v>SCT15CS045</v>
      </c>
      <c r="C53" s="121" t="str">
        <f>'ST-I'!C53</f>
        <v>R SREELAKSHMI</v>
      </c>
      <c r="D53" s="6"/>
      <c r="E53" s="118">
        <v>9</v>
      </c>
      <c r="F53" s="102"/>
      <c r="G53" s="102"/>
      <c r="H53" s="124"/>
      <c r="I53" s="102"/>
      <c r="J53" s="101"/>
      <c r="K53" s="25"/>
      <c r="L53" s="25"/>
      <c r="M53" s="35"/>
      <c r="N53" s="35"/>
      <c r="O53" s="25"/>
      <c r="P53" s="25"/>
      <c r="Q53" s="22"/>
      <c r="R53" s="22"/>
      <c r="S53" s="22"/>
      <c r="T53" s="31">
        <v>0</v>
      </c>
      <c r="U53" s="31">
        <v>0</v>
      </c>
      <c r="V53" s="31">
        <v>0</v>
      </c>
      <c r="W53" s="31">
        <v>0</v>
      </c>
      <c r="X53" s="31">
        <v>0</v>
      </c>
      <c r="Y53" s="31">
        <v>9</v>
      </c>
      <c r="Z53" s="31">
        <v>0</v>
      </c>
      <c r="AA53" s="31">
        <v>0</v>
      </c>
      <c r="AB53" s="31">
        <v>0</v>
      </c>
      <c r="AC53" s="31">
        <v>0</v>
      </c>
    </row>
    <row r="54" spans="1:29">
      <c r="A54" s="11">
        <v>246</v>
      </c>
      <c r="B54" s="115" t="str">
        <f>'ST-I'!B54</f>
        <v>SCT15CS046</v>
      </c>
      <c r="C54" s="121" t="str">
        <f>'ST-I'!C54</f>
        <v>RAFIYA RAJESH S R</v>
      </c>
      <c r="D54" s="6"/>
      <c r="E54" s="118">
        <v>10</v>
      </c>
      <c r="F54" s="102"/>
      <c r="G54" s="102"/>
      <c r="H54" s="124"/>
      <c r="I54" s="102"/>
      <c r="J54" s="101"/>
      <c r="K54" s="25"/>
      <c r="L54" s="25"/>
      <c r="M54" s="35"/>
      <c r="N54" s="35"/>
      <c r="O54" s="25"/>
      <c r="P54" s="25"/>
      <c r="Q54" s="22"/>
      <c r="R54" s="22"/>
      <c r="S54" s="22"/>
      <c r="T54" s="31">
        <v>0</v>
      </c>
      <c r="U54" s="31">
        <v>0</v>
      </c>
      <c r="V54" s="31">
        <v>0</v>
      </c>
      <c r="W54" s="31">
        <v>0</v>
      </c>
      <c r="X54" s="31">
        <v>0</v>
      </c>
      <c r="Y54" s="31">
        <v>10</v>
      </c>
      <c r="Z54" s="31">
        <v>0</v>
      </c>
      <c r="AA54" s="31">
        <v>0</v>
      </c>
      <c r="AB54" s="31">
        <v>0</v>
      </c>
      <c r="AC54" s="31">
        <v>0</v>
      </c>
    </row>
    <row r="55" spans="1:29">
      <c r="A55" s="11">
        <v>247</v>
      </c>
      <c r="B55" s="115" t="str">
        <f>'ST-I'!B55</f>
        <v>SCT15CS047</v>
      </c>
      <c r="C55" s="121" t="str">
        <f>'ST-I'!C55</f>
        <v>RAHUL S</v>
      </c>
      <c r="D55" s="6"/>
      <c r="E55" s="118"/>
      <c r="F55" s="102"/>
      <c r="G55" s="102"/>
      <c r="H55" s="124"/>
      <c r="I55" s="102"/>
      <c r="J55" s="101"/>
      <c r="K55" s="25"/>
      <c r="L55" s="25"/>
      <c r="M55" s="35"/>
      <c r="N55" s="35"/>
      <c r="O55" s="25"/>
      <c r="P55" s="25"/>
      <c r="Q55" s="22"/>
      <c r="R55" s="22"/>
      <c r="S55" s="22"/>
      <c r="T55" s="31">
        <v>0</v>
      </c>
      <c r="U55" s="31">
        <v>0</v>
      </c>
      <c r="V55" s="31">
        <v>0</v>
      </c>
      <c r="W55" s="31">
        <v>0</v>
      </c>
      <c r="X55" s="31">
        <v>0</v>
      </c>
      <c r="Y55" s="31">
        <v>0</v>
      </c>
      <c r="Z55" s="31">
        <v>0</v>
      </c>
      <c r="AA55" s="31">
        <v>0</v>
      </c>
      <c r="AB55" s="31">
        <v>0</v>
      </c>
      <c r="AC55" s="31">
        <v>0</v>
      </c>
    </row>
    <row r="56" spans="1:29">
      <c r="A56" s="11">
        <v>248</v>
      </c>
      <c r="B56" s="115" t="str">
        <f>'ST-I'!B56</f>
        <v>SCT15CS048</v>
      </c>
      <c r="C56" s="121" t="str">
        <f>'ST-I'!C56</f>
        <v>RAKESH P</v>
      </c>
      <c r="D56" s="6"/>
      <c r="E56" s="118">
        <v>9</v>
      </c>
      <c r="F56" s="102"/>
      <c r="G56" s="102"/>
      <c r="H56" s="124"/>
      <c r="I56" s="102"/>
      <c r="J56" s="101"/>
      <c r="K56" s="25"/>
      <c r="L56" s="25"/>
      <c r="M56" s="35"/>
      <c r="N56" s="35"/>
      <c r="O56" s="25"/>
      <c r="P56" s="25"/>
      <c r="Q56" s="22"/>
      <c r="R56" s="22"/>
      <c r="S56" s="22"/>
      <c r="T56" s="31">
        <v>0</v>
      </c>
      <c r="U56" s="31">
        <v>0</v>
      </c>
      <c r="V56" s="31">
        <v>0</v>
      </c>
      <c r="W56" s="31">
        <v>0</v>
      </c>
      <c r="X56" s="31">
        <v>0</v>
      </c>
      <c r="Y56" s="31">
        <v>9</v>
      </c>
      <c r="Z56" s="31">
        <v>0</v>
      </c>
      <c r="AA56" s="31">
        <v>0</v>
      </c>
      <c r="AB56" s="31">
        <v>0</v>
      </c>
      <c r="AC56" s="31">
        <v>0</v>
      </c>
    </row>
    <row r="57" spans="1:29">
      <c r="A57" s="11">
        <v>249</v>
      </c>
      <c r="B57" s="115" t="str">
        <f>'ST-I'!B57</f>
        <v>SCT15CS049</v>
      </c>
      <c r="C57" s="121" t="str">
        <f>'ST-I'!C57</f>
        <v>S SACHIN</v>
      </c>
      <c r="D57" s="6"/>
      <c r="E57" s="118">
        <v>5</v>
      </c>
      <c r="F57" s="102"/>
      <c r="G57" s="102"/>
      <c r="H57" s="124"/>
      <c r="I57" s="102"/>
      <c r="J57" s="101"/>
      <c r="K57" s="25"/>
      <c r="L57" s="25"/>
      <c r="M57" s="35"/>
      <c r="N57" s="35"/>
      <c r="O57" s="25"/>
      <c r="P57" s="25"/>
      <c r="Q57" s="22"/>
      <c r="R57" s="22"/>
      <c r="S57" s="22"/>
      <c r="T57" s="31">
        <v>0</v>
      </c>
      <c r="U57" s="31">
        <v>0</v>
      </c>
      <c r="V57" s="31">
        <v>0</v>
      </c>
      <c r="W57" s="31">
        <v>0</v>
      </c>
      <c r="X57" s="31">
        <v>0</v>
      </c>
      <c r="Y57" s="31">
        <v>5</v>
      </c>
      <c r="Z57" s="31">
        <v>0</v>
      </c>
      <c r="AA57" s="31">
        <v>0</v>
      </c>
      <c r="AB57" s="31">
        <v>0</v>
      </c>
      <c r="AC57" s="31">
        <v>0</v>
      </c>
    </row>
    <row r="58" spans="1:29">
      <c r="A58" s="11">
        <v>250</v>
      </c>
      <c r="B58" s="115" t="str">
        <f>'ST-I'!B58</f>
        <v>SCT15CS050</v>
      </c>
      <c r="C58" s="121" t="str">
        <f>'ST-I'!C58</f>
        <v>S VIJAY VENKATESH</v>
      </c>
      <c r="D58" s="6"/>
      <c r="E58" s="118">
        <v>9</v>
      </c>
      <c r="F58" s="102"/>
      <c r="G58" s="102"/>
      <c r="H58" s="124"/>
      <c r="I58" s="102"/>
      <c r="J58" s="101"/>
      <c r="K58" s="25"/>
      <c r="L58" s="25"/>
      <c r="M58" s="35"/>
      <c r="N58" s="35"/>
      <c r="O58" s="25"/>
      <c r="P58" s="25"/>
      <c r="Q58" s="22"/>
      <c r="R58" s="22"/>
      <c r="S58" s="22"/>
      <c r="T58" s="31">
        <v>0</v>
      </c>
      <c r="U58" s="31">
        <v>0</v>
      </c>
      <c r="V58" s="31">
        <v>0</v>
      </c>
      <c r="W58" s="31">
        <v>0</v>
      </c>
      <c r="X58" s="31">
        <v>0</v>
      </c>
      <c r="Y58" s="31">
        <v>9</v>
      </c>
      <c r="Z58" s="31">
        <v>0</v>
      </c>
      <c r="AA58" s="31">
        <v>0</v>
      </c>
      <c r="AB58" s="31">
        <v>0</v>
      </c>
      <c r="AC58" s="31">
        <v>0</v>
      </c>
    </row>
    <row r="59" spans="1:29">
      <c r="A59" s="11">
        <v>251</v>
      </c>
      <c r="B59" s="115" t="str">
        <f>'ST-I'!B59</f>
        <v>SCT15CS051</v>
      </c>
      <c r="C59" s="121" t="str">
        <f>'ST-I'!C59</f>
        <v>SAGAR ASHOK</v>
      </c>
      <c r="D59" s="6"/>
      <c r="E59" s="118">
        <v>10</v>
      </c>
      <c r="F59" s="102"/>
      <c r="G59" s="102"/>
      <c r="H59" s="124"/>
      <c r="I59" s="102"/>
      <c r="J59" s="101"/>
      <c r="K59" s="25"/>
      <c r="L59" s="25"/>
      <c r="M59" s="35"/>
      <c r="N59" s="35"/>
      <c r="O59" s="25"/>
      <c r="P59" s="25"/>
      <c r="Q59" s="22"/>
      <c r="R59" s="22"/>
      <c r="S59" s="22"/>
      <c r="T59" s="31">
        <v>0</v>
      </c>
      <c r="U59" s="31">
        <v>0</v>
      </c>
      <c r="V59" s="31">
        <v>0</v>
      </c>
      <c r="W59" s="31">
        <v>0</v>
      </c>
      <c r="X59" s="31">
        <v>0</v>
      </c>
      <c r="Y59" s="31">
        <v>10</v>
      </c>
      <c r="Z59" s="31">
        <v>0</v>
      </c>
      <c r="AA59" s="31">
        <v>0</v>
      </c>
      <c r="AB59" s="31">
        <v>0</v>
      </c>
      <c r="AC59" s="31">
        <v>0</v>
      </c>
    </row>
    <row r="60" spans="1:29">
      <c r="A60" s="11">
        <v>252</v>
      </c>
      <c r="B60" s="115" t="str">
        <f>'ST-I'!B60</f>
        <v>SCT15CS052</v>
      </c>
      <c r="C60" s="121" t="str">
        <f>'ST-I'!C60</f>
        <v>SHEHAZ SHEFY</v>
      </c>
      <c r="D60" s="6"/>
      <c r="E60" s="118">
        <v>9</v>
      </c>
      <c r="F60" s="102"/>
      <c r="G60" s="102"/>
      <c r="H60" s="124"/>
      <c r="I60" s="102"/>
      <c r="J60" s="101"/>
      <c r="K60" s="25"/>
      <c r="L60" s="25"/>
      <c r="M60" s="35"/>
      <c r="N60" s="35"/>
      <c r="O60" s="35"/>
      <c r="P60" s="35"/>
      <c r="Q60" s="22"/>
      <c r="R60" s="22"/>
      <c r="S60" s="22"/>
      <c r="T60" s="31">
        <v>0</v>
      </c>
      <c r="U60" s="31">
        <v>0</v>
      </c>
      <c r="V60" s="31">
        <v>0</v>
      </c>
      <c r="W60" s="31">
        <v>0</v>
      </c>
      <c r="X60" s="31">
        <v>0</v>
      </c>
      <c r="Y60" s="31">
        <v>9</v>
      </c>
      <c r="Z60" s="31">
        <v>0</v>
      </c>
      <c r="AA60" s="31">
        <v>0</v>
      </c>
      <c r="AB60" s="31">
        <v>0</v>
      </c>
      <c r="AC60" s="31">
        <v>0</v>
      </c>
    </row>
    <row r="61" spans="1:29">
      <c r="A61" s="11">
        <v>253</v>
      </c>
      <c r="B61" s="115" t="str">
        <f>'ST-I'!B61</f>
        <v>SCT15CS053</v>
      </c>
      <c r="C61" s="121" t="str">
        <f>'ST-I'!C61</f>
        <v>SHIBIN B SHAJI</v>
      </c>
      <c r="D61" s="6"/>
      <c r="E61" s="118">
        <v>9</v>
      </c>
      <c r="F61" s="102"/>
      <c r="G61" s="102"/>
      <c r="H61" s="124"/>
      <c r="I61" s="102"/>
      <c r="J61" s="101"/>
      <c r="K61" s="25"/>
      <c r="L61" s="25"/>
      <c r="M61" s="35"/>
      <c r="N61" s="35"/>
      <c r="O61" s="25"/>
      <c r="P61" s="25"/>
      <c r="Q61" s="22"/>
      <c r="R61" s="22"/>
      <c r="S61" s="22"/>
      <c r="T61" s="31">
        <v>0</v>
      </c>
      <c r="U61" s="31">
        <v>0</v>
      </c>
      <c r="V61" s="31">
        <v>0</v>
      </c>
      <c r="W61" s="31">
        <v>0</v>
      </c>
      <c r="X61" s="31">
        <v>0</v>
      </c>
      <c r="Y61" s="31">
        <v>9</v>
      </c>
      <c r="Z61" s="31">
        <v>0</v>
      </c>
      <c r="AA61" s="31">
        <v>0</v>
      </c>
      <c r="AB61" s="31">
        <v>0</v>
      </c>
      <c r="AC61" s="31">
        <v>0</v>
      </c>
    </row>
    <row r="62" spans="1:29">
      <c r="A62" s="11">
        <v>254</v>
      </c>
      <c r="B62" s="115" t="str">
        <f>'ST-I'!B62</f>
        <v>SCT15CS054</v>
      </c>
      <c r="C62" s="121" t="str">
        <f>'ST-I'!C62</f>
        <v>SHRADHA MARIAM SANTHOSH</v>
      </c>
      <c r="D62" s="6"/>
      <c r="E62" s="118">
        <v>10</v>
      </c>
      <c r="F62" s="102"/>
      <c r="G62" s="102"/>
      <c r="H62" s="124"/>
      <c r="I62" s="102"/>
      <c r="J62" s="101"/>
      <c r="K62" s="25"/>
      <c r="L62" s="25"/>
      <c r="M62" s="35"/>
      <c r="N62" s="35"/>
      <c r="O62" s="25"/>
      <c r="P62" s="25"/>
      <c r="Q62" s="22"/>
      <c r="R62" s="22"/>
      <c r="S62" s="22"/>
      <c r="T62" s="31">
        <v>0</v>
      </c>
      <c r="U62" s="31">
        <v>0</v>
      </c>
      <c r="V62" s="31">
        <v>0</v>
      </c>
      <c r="W62" s="31">
        <v>0</v>
      </c>
      <c r="X62" s="31">
        <v>0</v>
      </c>
      <c r="Y62" s="31">
        <v>10</v>
      </c>
      <c r="Z62" s="31">
        <v>0</v>
      </c>
      <c r="AA62" s="31">
        <v>0</v>
      </c>
      <c r="AB62" s="31">
        <v>0</v>
      </c>
      <c r="AC62" s="31">
        <v>0</v>
      </c>
    </row>
    <row r="63" spans="1:29">
      <c r="A63" s="11">
        <v>255</v>
      </c>
      <c r="B63" s="115" t="str">
        <f>'ST-I'!B63</f>
        <v>SCT15CS055</v>
      </c>
      <c r="C63" s="121" t="str">
        <f>'ST-I'!C63</f>
        <v>SIBI KOSHY</v>
      </c>
      <c r="D63" s="6"/>
      <c r="E63" s="118">
        <v>10</v>
      </c>
      <c r="F63" s="102"/>
      <c r="G63" s="102"/>
      <c r="H63" s="124"/>
      <c r="I63" s="102"/>
      <c r="J63" s="101"/>
      <c r="K63" s="25"/>
      <c r="L63" s="25"/>
      <c r="M63" s="35"/>
      <c r="N63" s="35"/>
      <c r="O63" s="25"/>
      <c r="P63" s="25"/>
      <c r="Q63" s="22"/>
      <c r="R63" s="22"/>
      <c r="S63" s="22"/>
      <c r="T63" s="31">
        <v>0</v>
      </c>
      <c r="U63" s="31">
        <v>0</v>
      </c>
      <c r="V63" s="31">
        <v>0</v>
      </c>
      <c r="W63" s="31">
        <v>0</v>
      </c>
      <c r="X63" s="31">
        <v>0</v>
      </c>
      <c r="Y63" s="31">
        <v>10</v>
      </c>
      <c r="Z63" s="31">
        <v>0</v>
      </c>
      <c r="AA63" s="31">
        <v>0</v>
      </c>
      <c r="AB63" s="31">
        <v>0</v>
      </c>
      <c r="AC63" s="31">
        <v>0</v>
      </c>
    </row>
    <row r="64" spans="1:29">
      <c r="A64" s="11">
        <v>256</v>
      </c>
      <c r="B64" s="115" t="str">
        <f>'ST-I'!B64</f>
        <v>SCT15CS056</v>
      </c>
      <c r="C64" s="121" t="str">
        <f>'ST-I'!C64</f>
        <v>SIVAKRISHNAN S K</v>
      </c>
      <c r="D64" s="6"/>
      <c r="E64" s="118">
        <v>9</v>
      </c>
      <c r="F64" s="102"/>
      <c r="G64" s="102"/>
      <c r="H64" s="124"/>
      <c r="I64" s="102"/>
      <c r="J64" s="101"/>
      <c r="K64" s="25"/>
      <c r="L64" s="25"/>
      <c r="M64" s="35"/>
      <c r="N64" s="35"/>
      <c r="O64" s="35"/>
      <c r="P64" s="35"/>
      <c r="Q64" s="22"/>
      <c r="R64" s="22"/>
      <c r="S64" s="22"/>
      <c r="T64" s="31">
        <v>0</v>
      </c>
      <c r="U64" s="31">
        <v>0</v>
      </c>
      <c r="V64" s="31">
        <v>0</v>
      </c>
      <c r="W64" s="31">
        <v>0</v>
      </c>
      <c r="X64" s="31">
        <v>0</v>
      </c>
      <c r="Y64" s="31">
        <v>9</v>
      </c>
      <c r="Z64" s="31">
        <v>0</v>
      </c>
      <c r="AA64" s="31">
        <v>0</v>
      </c>
      <c r="AB64" s="31">
        <v>0</v>
      </c>
      <c r="AC64" s="31">
        <v>0</v>
      </c>
    </row>
    <row r="65" spans="1:29">
      <c r="A65" s="11">
        <v>257</v>
      </c>
      <c r="B65" s="115" t="str">
        <f>'ST-I'!B65</f>
        <v>SCT15CS057</v>
      </c>
      <c r="C65" s="121" t="str">
        <f>'ST-I'!C65</f>
        <v>SREEDEV S B</v>
      </c>
      <c r="D65" s="6"/>
      <c r="E65" s="118">
        <v>9</v>
      </c>
      <c r="F65" s="102"/>
      <c r="G65" s="102"/>
      <c r="H65" s="124"/>
      <c r="I65" s="102"/>
      <c r="J65" s="101"/>
      <c r="K65" s="25"/>
      <c r="L65" s="25"/>
      <c r="M65" s="35"/>
      <c r="N65" s="35"/>
      <c r="O65" s="25"/>
      <c r="P65" s="25"/>
      <c r="Q65" s="22"/>
      <c r="R65" s="22"/>
      <c r="S65" s="22"/>
      <c r="T65" s="31">
        <v>0</v>
      </c>
      <c r="U65" s="31">
        <v>0</v>
      </c>
      <c r="V65" s="31">
        <v>0</v>
      </c>
      <c r="W65" s="31">
        <v>0</v>
      </c>
      <c r="X65" s="31">
        <v>0</v>
      </c>
      <c r="Y65" s="31">
        <v>9</v>
      </c>
      <c r="Z65" s="31">
        <v>0</v>
      </c>
      <c r="AA65" s="31">
        <v>0</v>
      </c>
      <c r="AB65" s="31">
        <v>0</v>
      </c>
      <c r="AC65" s="31">
        <v>0</v>
      </c>
    </row>
    <row r="66" spans="1:29">
      <c r="A66" s="11">
        <v>258</v>
      </c>
      <c r="B66" s="115" t="str">
        <f>'ST-I'!B66</f>
        <v>SCT15CS058</v>
      </c>
      <c r="C66" s="121">
        <f>'ST-I'!C66</f>
        <v>0</v>
      </c>
      <c r="D66" s="6"/>
      <c r="E66" s="118"/>
      <c r="F66" s="102"/>
      <c r="G66" s="102"/>
      <c r="H66" s="124"/>
      <c r="I66" s="102"/>
      <c r="J66" s="101"/>
      <c r="K66" s="25"/>
      <c r="L66" s="25"/>
      <c r="M66" s="35"/>
      <c r="N66" s="35"/>
      <c r="O66" s="35"/>
      <c r="P66" s="35"/>
      <c r="Q66" s="22"/>
      <c r="R66" s="22"/>
      <c r="S66" s="22"/>
      <c r="T66" s="31">
        <v>0</v>
      </c>
      <c r="U66" s="31">
        <v>0</v>
      </c>
      <c r="V66" s="31">
        <v>0</v>
      </c>
      <c r="W66" s="31">
        <v>0</v>
      </c>
      <c r="X66" s="31">
        <v>0</v>
      </c>
      <c r="Y66" s="31">
        <v>0</v>
      </c>
      <c r="Z66" s="31">
        <v>0</v>
      </c>
      <c r="AA66" s="31">
        <v>0</v>
      </c>
      <c r="AB66" s="31">
        <v>0</v>
      </c>
      <c r="AC66" s="31">
        <v>0</v>
      </c>
    </row>
    <row r="67" spans="1:29">
      <c r="A67" s="11">
        <v>259</v>
      </c>
      <c r="B67" s="115" t="str">
        <f>'ST-I'!B67</f>
        <v>SCT15CS059</v>
      </c>
      <c r="C67" s="121" t="str">
        <f>'ST-I'!C67</f>
        <v>TASNEEM ABDULKADER SHAJILABEEVI</v>
      </c>
      <c r="D67" s="6"/>
      <c r="E67" s="118">
        <v>9</v>
      </c>
      <c r="F67" s="102"/>
      <c r="G67" s="102"/>
      <c r="H67" s="124"/>
      <c r="I67" s="102"/>
      <c r="J67" s="101"/>
      <c r="K67" s="25"/>
      <c r="L67" s="25"/>
      <c r="M67" s="35"/>
      <c r="N67" s="35"/>
      <c r="O67" s="25"/>
      <c r="P67" s="25"/>
      <c r="Q67" s="22"/>
      <c r="R67" s="22"/>
      <c r="S67" s="22"/>
      <c r="T67" s="31">
        <v>0</v>
      </c>
      <c r="U67" s="31">
        <v>0</v>
      </c>
      <c r="V67" s="31">
        <v>0</v>
      </c>
      <c r="W67" s="31">
        <v>0</v>
      </c>
      <c r="X67" s="31">
        <v>0</v>
      </c>
      <c r="Y67" s="31">
        <v>9</v>
      </c>
      <c r="Z67" s="31">
        <v>0</v>
      </c>
      <c r="AA67" s="31">
        <v>0</v>
      </c>
      <c r="AB67" s="31">
        <v>0</v>
      </c>
      <c r="AC67" s="31">
        <v>0</v>
      </c>
    </row>
    <row r="68" spans="1:29">
      <c r="A68" s="11">
        <v>260</v>
      </c>
      <c r="B68" s="115" t="str">
        <f>'ST-I'!B68</f>
        <v>SCT15CS060</v>
      </c>
      <c r="C68" s="121" t="str">
        <f>'ST-I'!C68</f>
        <v>VENI S</v>
      </c>
      <c r="D68" s="6"/>
      <c r="E68" s="118">
        <v>9</v>
      </c>
      <c r="F68" s="102"/>
      <c r="G68" s="102"/>
      <c r="H68" s="124"/>
      <c r="I68" s="102"/>
      <c r="J68" s="101"/>
      <c r="K68" s="25"/>
      <c r="L68" s="25"/>
      <c r="M68" s="35"/>
      <c r="N68" s="35"/>
      <c r="O68" s="25"/>
      <c r="P68" s="25"/>
      <c r="Q68" s="22"/>
      <c r="R68" s="22"/>
      <c r="S68" s="22"/>
      <c r="T68" s="31">
        <v>0</v>
      </c>
      <c r="U68" s="31">
        <v>0</v>
      </c>
      <c r="V68" s="31">
        <v>0</v>
      </c>
      <c r="W68" s="31">
        <v>0</v>
      </c>
      <c r="X68" s="31">
        <v>0</v>
      </c>
      <c r="Y68" s="31">
        <v>9</v>
      </c>
      <c r="Z68" s="31">
        <v>0</v>
      </c>
      <c r="AA68" s="31">
        <v>0</v>
      </c>
      <c r="AB68" s="31">
        <v>0</v>
      </c>
      <c r="AC68" s="31">
        <v>0</v>
      </c>
    </row>
    <row r="69" spans="1:29">
      <c r="A69" s="11">
        <v>261</v>
      </c>
      <c r="B69" s="115" t="str">
        <f>'ST-I'!B69</f>
        <v>SCT15CS061</v>
      </c>
      <c r="C69" s="121" t="str">
        <f>'ST-I'!C69</f>
        <v>VISAKH V NAIR</v>
      </c>
      <c r="D69" s="6"/>
      <c r="E69" s="118">
        <v>9</v>
      </c>
      <c r="F69" s="102"/>
      <c r="G69" s="102"/>
      <c r="H69" s="124"/>
      <c r="I69" s="102"/>
      <c r="J69" s="101"/>
      <c r="K69" s="25"/>
      <c r="L69" s="25"/>
      <c r="M69" s="35"/>
      <c r="N69" s="35"/>
      <c r="O69" s="25"/>
      <c r="P69" s="25"/>
      <c r="Q69" s="22"/>
      <c r="R69" s="22"/>
      <c r="S69" s="22"/>
      <c r="T69" s="31">
        <v>0</v>
      </c>
      <c r="U69" s="31">
        <v>0</v>
      </c>
      <c r="V69" s="31">
        <v>0</v>
      </c>
      <c r="W69" s="31">
        <v>0</v>
      </c>
      <c r="X69" s="31">
        <v>0</v>
      </c>
      <c r="Y69" s="31">
        <v>9</v>
      </c>
      <c r="Z69" s="31">
        <v>0</v>
      </c>
      <c r="AA69" s="31">
        <v>0</v>
      </c>
      <c r="AB69" s="31">
        <v>0</v>
      </c>
      <c r="AC69" s="31">
        <v>0</v>
      </c>
    </row>
    <row r="70" spans="1:29">
      <c r="A70" s="11">
        <v>262</v>
      </c>
      <c r="B70" s="115" t="str">
        <f>'ST-I'!B70</f>
        <v>SCT15CS062</v>
      </c>
      <c r="C70" s="121" t="str">
        <f>'ST-I'!C70</f>
        <v>VISHNU A K</v>
      </c>
      <c r="D70" s="6"/>
      <c r="E70" s="118">
        <v>10</v>
      </c>
      <c r="F70" s="102"/>
      <c r="G70" s="102"/>
      <c r="H70" s="124"/>
      <c r="I70" s="102"/>
      <c r="J70" s="101"/>
      <c r="K70" s="25"/>
      <c r="L70" s="25"/>
      <c r="M70" s="35"/>
      <c r="N70" s="35"/>
      <c r="O70" s="25"/>
      <c r="P70" s="25"/>
      <c r="Q70" s="22"/>
      <c r="R70" s="22"/>
      <c r="S70" s="22"/>
      <c r="T70" s="31">
        <v>0</v>
      </c>
      <c r="U70" s="31">
        <v>0</v>
      </c>
      <c r="V70" s="31">
        <v>0</v>
      </c>
      <c r="W70" s="31">
        <v>0</v>
      </c>
      <c r="X70" s="31">
        <v>0</v>
      </c>
      <c r="Y70" s="31">
        <v>10</v>
      </c>
      <c r="Z70" s="31">
        <v>0</v>
      </c>
      <c r="AA70" s="31">
        <v>0</v>
      </c>
      <c r="AB70" s="31">
        <v>0</v>
      </c>
      <c r="AC70" s="31">
        <v>0</v>
      </c>
    </row>
    <row r="71" spans="1:29">
      <c r="A71" s="11">
        <v>263</v>
      </c>
      <c r="B71" s="115" t="str">
        <f>'ST-I'!B71</f>
        <v>SCT15CS063</v>
      </c>
      <c r="C71" s="121" t="str">
        <f>'ST-I'!C71</f>
        <v>VYSHNAVI S</v>
      </c>
      <c r="D71" s="6"/>
      <c r="E71" s="118">
        <v>9</v>
      </c>
      <c r="F71" s="102"/>
      <c r="G71" s="102"/>
      <c r="H71" s="124"/>
      <c r="I71" s="102"/>
      <c r="J71" s="101"/>
      <c r="K71" s="25"/>
      <c r="L71" s="25"/>
      <c r="M71" s="35"/>
      <c r="N71" s="35"/>
      <c r="O71" s="25"/>
      <c r="P71" s="25"/>
      <c r="Q71" s="22"/>
      <c r="R71" s="22"/>
      <c r="S71" s="22"/>
      <c r="T71" s="31">
        <v>0</v>
      </c>
      <c r="U71" s="31">
        <v>0</v>
      </c>
      <c r="V71" s="31">
        <v>0</v>
      </c>
      <c r="W71" s="31">
        <v>0</v>
      </c>
      <c r="X71" s="31">
        <v>0</v>
      </c>
      <c r="Y71" s="31">
        <v>9</v>
      </c>
      <c r="Z71" s="31">
        <v>0</v>
      </c>
      <c r="AA71" s="31">
        <v>0</v>
      </c>
      <c r="AB71" s="31">
        <v>0</v>
      </c>
      <c r="AC71" s="31">
        <v>0</v>
      </c>
    </row>
    <row r="72" spans="1:29">
      <c r="A72" s="11">
        <v>264</v>
      </c>
      <c r="B72" s="115" t="str">
        <f>'ST-I'!B72</f>
        <v>SCT15CS064</v>
      </c>
      <c r="C72" s="121" t="str">
        <f>'ST-I'!C72</f>
        <v>ABU THAHIR KM</v>
      </c>
      <c r="D72" s="35"/>
      <c r="E72" s="118"/>
      <c r="F72" s="102"/>
      <c r="G72" s="102"/>
      <c r="H72" s="124"/>
      <c r="I72" s="102"/>
      <c r="J72" s="101"/>
      <c r="K72" s="25"/>
      <c r="L72" s="25"/>
      <c r="M72" s="35"/>
      <c r="N72" s="35"/>
      <c r="O72" s="25"/>
      <c r="P72" s="25"/>
      <c r="Q72" s="17"/>
      <c r="R72" s="17"/>
      <c r="S72" s="17"/>
      <c r="T72" s="8">
        <v>0</v>
      </c>
      <c r="U72" s="8">
        <v>0</v>
      </c>
      <c r="V72" s="8">
        <v>0</v>
      </c>
      <c r="W72" s="8">
        <v>0</v>
      </c>
      <c r="X72" s="8">
        <v>0</v>
      </c>
      <c r="Y72" s="8">
        <v>0</v>
      </c>
      <c r="Z72" s="8">
        <v>0</v>
      </c>
      <c r="AA72" s="8">
        <v>0</v>
      </c>
      <c r="AB72" s="8">
        <v>0</v>
      </c>
      <c r="AC72" s="8">
        <v>0</v>
      </c>
    </row>
    <row r="73" spans="1:29">
      <c r="A73" s="11">
        <v>265</v>
      </c>
      <c r="B73" s="115" t="str">
        <f>'ST-I'!B73</f>
        <v>SCT15CS065</v>
      </c>
      <c r="C73" s="121" t="str">
        <f>'ST-I'!C73</f>
        <v>ARUN S BABU</v>
      </c>
      <c r="D73" s="35"/>
      <c r="E73" s="118">
        <v>9</v>
      </c>
      <c r="F73" s="102"/>
      <c r="G73" s="102"/>
      <c r="H73" s="124"/>
      <c r="I73" s="102"/>
      <c r="J73" s="101"/>
      <c r="K73" s="25"/>
      <c r="L73" s="25"/>
      <c r="M73" s="35"/>
      <c r="N73" s="35"/>
      <c r="O73" s="35"/>
      <c r="P73" s="35"/>
      <c r="Q73" s="17"/>
      <c r="R73" s="17"/>
      <c r="S73" s="17"/>
      <c r="T73" s="8">
        <v>0</v>
      </c>
      <c r="U73" s="8">
        <v>0</v>
      </c>
      <c r="V73" s="8">
        <v>0</v>
      </c>
      <c r="W73" s="8">
        <v>0</v>
      </c>
      <c r="X73" s="8">
        <v>0</v>
      </c>
      <c r="Y73" s="8">
        <v>9</v>
      </c>
      <c r="Z73" s="8">
        <v>0</v>
      </c>
      <c r="AA73" s="8">
        <v>0</v>
      </c>
      <c r="AB73" s="8">
        <v>0</v>
      </c>
      <c r="AC73" s="8">
        <v>0</v>
      </c>
    </row>
    <row r="74" spans="1:29">
      <c r="A74" s="11">
        <v>266</v>
      </c>
      <c r="B74" s="115" t="str">
        <f>'ST-I'!B74</f>
        <v>SCT15CS066</v>
      </c>
      <c r="C74" s="121" t="str">
        <f>'ST-I'!C74</f>
        <v>SUBINA C K</v>
      </c>
      <c r="D74" s="35"/>
      <c r="E74" s="118">
        <v>9</v>
      </c>
      <c r="F74" s="102"/>
      <c r="G74" s="102"/>
      <c r="H74" s="124"/>
      <c r="I74" s="102"/>
      <c r="J74" s="101"/>
      <c r="K74" s="25"/>
      <c r="L74" s="25"/>
      <c r="M74" s="35"/>
      <c r="N74" s="35"/>
      <c r="O74" s="35"/>
      <c r="P74" s="35"/>
      <c r="Q74" s="17"/>
      <c r="R74" s="17"/>
      <c r="S74" s="17"/>
      <c r="T74" s="8">
        <v>0</v>
      </c>
      <c r="U74" s="8">
        <v>0</v>
      </c>
      <c r="V74" s="8">
        <v>0</v>
      </c>
      <c r="W74" s="8">
        <v>0</v>
      </c>
      <c r="X74" s="8">
        <v>0</v>
      </c>
      <c r="Y74" s="8">
        <v>9</v>
      </c>
      <c r="Z74" s="8">
        <v>0</v>
      </c>
      <c r="AA74" s="8">
        <v>0</v>
      </c>
      <c r="AB74" s="8">
        <v>0</v>
      </c>
      <c r="AC74" s="8">
        <v>0</v>
      </c>
    </row>
    <row r="75" spans="1:29">
      <c r="A75" s="23">
        <f>'ST-I'!A76</f>
        <v>0</v>
      </c>
      <c r="B75" s="31"/>
      <c r="C75" s="24">
        <f>'ST-I'!C75</f>
        <v>0</v>
      </c>
      <c r="D75" s="35"/>
      <c r="E75" s="118"/>
      <c r="F75" s="102"/>
      <c r="G75" s="35"/>
      <c r="H75" s="124"/>
      <c r="I75" s="41"/>
      <c r="J75" s="41"/>
      <c r="K75" s="41"/>
      <c r="L75" s="41"/>
      <c r="M75" s="35"/>
      <c r="N75" s="35"/>
      <c r="O75" s="35"/>
      <c r="P75" s="35"/>
      <c r="Q75" s="35"/>
      <c r="R75" s="35"/>
      <c r="S75" s="35"/>
      <c r="T75" s="8">
        <v>0</v>
      </c>
      <c r="U75" s="8">
        <v>0</v>
      </c>
      <c r="V75" s="8">
        <v>0</v>
      </c>
      <c r="W75" s="8">
        <v>0</v>
      </c>
      <c r="X75" s="8">
        <v>0</v>
      </c>
      <c r="Y75" s="8">
        <v>0</v>
      </c>
      <c r="Z75" s="8">
        <v>0</v>
      </c>
      <c r="AA75" s="8">
        <v>0</v>
      </c>
      <c r="AB75" s="8">
        <v>0</v>
      </c>
      <c r="AC75" s="8">
        <v>0</v>
      </c>
    </row>
    <row r="76" spans="1:29">
      <c r="A76" s="23">
        <f>'ST-I'!A77</f>
        <v>0</v>
      </c>
      <c r="B76" s="31"/>
      <c r="C76" s="24">
        <f>'ST-I'!C76</f>
        <v>0</v>
      </c>
      <c r="D76" s="35"/>
      <c r="E76" s="118"/>
      <c r="F76" s="102"/>
      <c r="G76" s="35"/>
      <c r="H76" s="124"/>
      <c r="I76" s="41"/>
      <c r="J76" s="41"/>
      <c r="K76" s="41"/>
      <c r="L76" s="41"/>
      <c r="M76" s="35"/>
      <c r="N76" s="35"/>
      <c r="O76" s="35"/>
      <c r="P76" s="35"/>
      <c r="Q76" s="35"/>
      <c r="R76" s="35"/>
      <c r="S76" s="35"/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</row>
    <row r="77" spans="1:29">
      <c r="A77" s="23" t="e">
        <f>'ST-I'!#REF!</f>
        <v>#REF!</v>
      </c>
      <c r="B77" s="43"/>
      <c r="C77" s="24">
        <f>'ST-I'!C77</f>
        <v>0</v>
      </c>
      <c r="D77" s="35"/>
      <c r="E77" s="118"/>
      <c r="F77" s="102"/>
      <c r="G77" s="35"/>
      <c r="H77" s="124"/>
      <c r="I77" s="41"/>
      <c r="J77" s="41"/>
      <c r="K77" s="41"/>
      <c r="L77" s="41"/>
      <c r="M77" s="35"/>
      <c r="N77" s="35"/>
      <c r="O77" s="35"/>
      <c r="P77" s="35"/>
      <c r="Q77" s="35"/>
      <c r="R77" s="35"/>
      <c r="S77" s="35"/>
      <c r="T77" s="8">
        <v>0</v>
      </c>
      <c r="U77" s="8">
        <v>0</v>
      </c>
      <c r="V77" s="8">
        <v>0</v>
      </c>
      <c r="W77" s="8">
        <v>0</v>
      </c>
      <c r="X77" s="8">
        <v>0</v>
      </c>
      <c r="Y77" s="8">
        <v>0</v>
      </c>
      <c r="Z77" s="8">
        <v>0</v>
      </c>
      <c r="AA77" s="8">
        <v>0</v>
      </c>
      <c r="AB77" s="8">
        <v>0</v>
      </c>
      <c r="AC77" s="8">
        <v>0</v>
      </c>
    </row>
    <row r="78" spans="1:29">
      <c r="A78" s="23">
        <f>'ST-I'!A78</f>
        <v>0</v>
      </c>
      <c r="B78" s="35"/>
      <c r="C78" s="24">
        <f>'ST-I'!C78</f>
        <v>0</v>
      </c>
      <c r="D78" s="35"/>
      <c r="E78" s="118"/>
      <c r="F78" s="102"/>
      <c r="G78" s="35"/>
      <c r="H78" s="124"/>
      <c r="I78" s="41"/>
      <c r="J78" s="41"/>
      <c r="K78" s="41"/>
      <c r="L78" s="41"/>
      <c r="M78" s="35"/>
      <c r="N78" s="35"/>
      <c r="O78" s="35"/>
      <c r="P78" s="35"/>
      <c r="Q78" s="35"/>
      <c r="R78" s="35"/>
      <c r="S78" s="35"/>
      <c r="T78" s="8">
        <v>0</v>
      </c>
      <c r="U78" s="8">
        <v>0</v>
      </c>
      <c r="V78" s="8">
        <v>0</v>
      </c>
      <c r="W78" s="8">
        <v>0</v>
      </c>
      <c r="X78" s="8">
        <v>0</v>
      </c>
      <c r="Y78" s="8">
        <v>0</v>
      </c>
      <c r="Z78" s="8">
        <v>0</v>
      </c>
      <c r="AA78" s="8">
        <v>0</v>
      </c>
      <c r="AB78" s="8">
        <v>0</v>
      </c>
      <c r="AC78" s="8">
        <v>0</v>
      </c>
    </row>
    <row r="79" spans="1:29">
      <c r="A79" s="23">
        <f>'ST-I'!A79</f>
        <v>0</v>
      </c>
      <c r="B79" s="35"/>
      <c r="C79" s="24">
        <f>'ST-I'!C79</f>
        <v>0</v>
      </c>
      <c r="D79" s="35"/>
      <c r="E79" s="35"/>
      <c r="F79" s="35"/>
      <c r="G79" s="35"/>
      <c r="H79" s="35"/>
      <c r="I79" s="41"/>
      <c r="J79" s="41"/>
      <c r="K79" s="41"/>
      <c r="L79" s="41"/>
      <c r="M79" s="35"/>
      <c r="N79" s="35"/>
      <c r="O79" s="35"/>
      <c r="P79" s="35"/>
      <c r="Q79" s="35"/>
      <c r="R79" s="35"/>
      <c r="S79" s="35"/>
      <c r="T79" s="8">
        <v>0</v>
      </c>
      <c r="U79" s="8">
        <v>0</v>
      </c>
      <c r="V79" s="8">
        <v>0</v>
      </c>
      <c r="W79" s="8">
        <v>0</v>
      </c>
      <c r="X79" s="8">
        <v>0</v>
      </c>
      <c r="Y79" s="8">
        <v>0</v>
      </c>
      <c r="Z79" s="8">
        <v>0</v>
      </c>
      <c r="AA79" s="8">
        <v>0</v>
      </c>
      <c r="AB79" s="8">
        <v>0</v>
      </c>
      <c r="AC79" s="8">
        <v>0</v>
      </c>
    </row>
    <row r="80" spans="1:29">
      <c r="A80" s="23">
        <f>'ST-I'!A80</f>
        <v>0</v>
      </c>
      <c r="B80" s="35"/>
      <c r="C80" s="24">
        <f>'ST-I'!C80</f>
        <v>0</v>
      </c>
      <c r="D80" s="35"/>
      <c r="E80" s="35"/>
      <c r="F80" s="35"/>
      <c r="G80" s="35"/>
      <c r="H80" s="35"/>
      <c r="I80" s="41"/>
      <c r="J80" s="41"/>
      <c r="K80" s="41"/>
      <c r="L80" s="41"/>
      <c r="M80" s="35"/>
      <c r="N80" s="35"/>
      <c r="O80" s="35"/>
      <c r="P80" s="35"/>
      <c r="Q80" s="35"/>
      <c r="R80" s="35"/>
      <c r="S80" s="35"/>
      <c r="T80" s="8">
        <v>0</v>
      </c>
      <c r="U80" s="8">
        <v>0</v>
      </c>
      <c r="V80" s="8">
        <v>0</v>
      </c>
      <c r="W80" s="8">
        <v>0</v>
      </c>
      <c r="X80" s="8">
        <v>0</v>
      </c>
      <c r="Y80" s="8">
        <v>0</v>
      </c>
      <c r="Z80" s="8">
        <v>0</v>
      </c>
      <c r="AA80" s="8">
        <v>0</v>
      </c>
      <c r="AB80" s="8">
        <v>0</v>
      </c>
      <c r="AC80" s="8">
        <v>0</v>
      </c>
    </row>
    <row r="81" spans="1:29">
      <c r="A81" s="23">
        <f>'ST-I'!A81</f>
        <v>0</v>
      </c>
      <c r="B81" s="35"/>
      <c r="C81" s="24">
        <f>'ST-I'!C81</f>
        <v>0</v>
      </c>
      <c r="D81" s="35"/>
      <c r="E81" s="35"/>
      <c r="F81" s="35"/>
      <c r="G81" s="35"/>
      <c r="H81" s="35"/>
      <c r="I81" s="41"/>
      <c r="J81" s="41"/>
      <c r="K81" s="41"/>
      <c r="L81" s="41"/>
      <c r="M81" s="35"/>
      <c r="N81" s="35"/>
      <c r="O81" s="35"/>
      <c r="P81" s="35"/>
      <c r="Q81" s="35"/>
      <c r="R81" s="35"/>
      <c r="S81" s="35"/>
      <c r="T81" s="8">
        <v>0</v>
      </c>
      <c r="U81" s="8">
        <v>0</v>
      </c>
      <c r="V81" s="8">
        <v>0</v>
      </c>
      <c r="W81" s="8">
        <v>0</v>
      </c>
      <c r="X81" s="8">
        <v>0</v>
      </c>
      <c r="Y81" s="8">
        <v>0</v>
      </c>
      <c r="Z81" s="8">
        <v>0</v>
      </c>
      <c r="AA81" s="8">
        <v>0</v>
      </c>
      <c r="AB81" s="8">
        <v>0</v>
      </c>
      <c r="AC81" s="8">
        <v>0</v>
      </c>
    </row>
  </sheetData>
  <mergeCells count="25">
    <mergeCell ref="R7:R8"/>
    <mergeCell ref="S7:S8"/>
    <mergeCell ref="T7:AC7"/>
    <mergeCell ref="L7:L8"/>
    <mergeCell ref="M7:M8"/>
    <mergeCell ref="N7:N8"/>
    <mergeCell ref="O7:O8"/>
    <mergeCell ref="P7:P8"/>
    <mergeCell ref="Q7:Q8"/>
    <mergeCell ref="K7:K8"/>
    <mergeCell ref="A1:AC1"/>
    <mergeCell ref="A3:B3"/>
    <mergeCell ref="C3:H3"/>
    <mergeCell ref="T3:AC3"/>
    <mergeCell ref="A5:A8"/>
    <mergeCell ref="B5:B8"/>
    <mergeCell ref="C5:C8"/>
    <mergeCell ref="T5:AC5"/>
    <mergeCell ref="D7:D8"/>
    <mergeCell ref="E7:E8"/>
    <mergeCell ref="F7:F8"/>
    <mergeCell ref="G7:G8"/>
    <mergeCell ref="H7:H8"/>
    <mergeCell ref="I7:I8"/>
    <mergeCell ref="J7:J8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L78"/>
  <sheetViews>
    <sheetView topLeftCell="A67" workbookViewId="0">
      <selection activeCell="N8" sqref="N8"/>
    </sheetView>
  </sheetViews>
  <sheetFormatPr defaultRowHeight="12.75"/>
  <cols>
    <col min="1" max="1" width="11.7109375" customWidth="1"/>
    <col min="2" max="2" width="23.5703125" customWidth="1"/>
    <col min="3" max="4" width="15.28515625" customWidth="1"/>
    <col min="5" max="5" width="16.140625" customWidth="1"/>
    <col min="6" max="6" width="16" customWidth="1"/>
    <col min="7" max="7" width="14.42578125" customWidth="1"/>
    <col min="8" max="8" width="14" customWidth="1"/>
    <col min="9" max="9" width="13.28515625" customWidth="1"/>
    <col min="10" max="10" width="14" customWidth="1"/>
  </cols>
  <sheetData>
    <row r="1" spans="1:12" ht="15">
      <c r="A1" s="150" t="s">
        <v>33</v>
      </c>
      <c r="B1" s="150"/>
      <c r="C1" s="51">
        <v>6</v>
      </c>
      <c r="D1" s="150" t="s">
        <v>34</v>
      </c>
      <c r="E1" s="150"/>
      <c r="F1" s="52">
        <v>53</v>
      </c>
    </row>
    <row r="2" spans="1:12" ht="25.5">
      <c r="A2" s="72" t="s">
        <v>35</v>
      </c>
      <c r="B2" s="73" t="s">
        <v>36</v>
      </c>
      <c r="C2" s="73" t="s">
        <v>8</v>
      </c>
      <c r="D2" s="73" t="s">
        <v>9</v>
      </c>
      <c r="E2" s="73" t="s">
        <v>7</v>
      </c>
      <c r="F2" s="73" t="s">
        <v>10</v>
      </c>
      <c r="G2" s="73" t="s">
        <v>6</v>
      </c>
      <c r="H2" s="73" t="s">
        <v>37</v>
      </c>
      <c r="I2" s="73" t="s">
        <v>26</v>
      </c>
      <c r="J2" s="73" t="s">
        <v>27</v>
      </c>
      <c r="K2" s="73" t="s">
        <v>28</v>
      </c>
      <c r="L2" s="73" t="s">
        <v>41</v>
      </c>
    </row>
    <row r="3" spans="1:12" ht="24" customHeight="1">
      <c r="A3" s="79"/>
      <c r="B3" s="74"/>
      <c r="C3" s="128" t="s">
        <v>100</v>
      </c>
      <c r="D3" s="128" t="s">
        <v>100</v>
      </c>
      <c r="E3" s="128" t="s">
        <v>100</v>
      </c>
      <c r="F3" s="128" t="s">
        <v>100</v>
      </c>
      <c r="G3" s="128" t="s">
        <v>100</v>
      </c>
      <c r="H3" s="128" t="s">
        <v>100</v>
      </c>
      <c r="J3" s="76"/>
      <c r="K3" s="78"/>
      <c r="L3" s="78"/>
    </row>
    <row r="4" spans="1:12" ht="24" customHeight="1">
      <c r="A4" s="79"/>
      <c r="B4" s="74"/>
      <c r="C4" s="128" t="s">
        <v>100</v>
      </c>
      <c r="D4" s="128" t="s">
        <v>100</v>
      </c>
      <c r="E4" s="128" t="s">
        <v>100</v>
      </c>
      <c r="F4" s="128" t="s">
        <v>100</v>
      </c>
      <c r="G4" s="128" t="s">
        <v>100</v>
      </c>
      <c r="H4" s="128" t="s">
        <v>100</v>
      </c>
      <c r="J4" s="76"/>
      <c r="K4" s="78"/>
      <c r="L4" s="78"/>
    </row>
    <row r="5" spans="1:12" ht="24" customHeight="1">
      <c r="A5" s="79"/>
      <c r="B5" s="74"/>
      <c r="C5" s="128" t="s">
        <v>100</v>
      </c>
      <c r="D5" s="128" t="s">
        <v>100</v>
      </c>
      <c r="E5" s="128" t="s">
        <v>168</v>
      </c>
      <c r="F5" s="128" t="s">
        <v>100</v>
      </c>
      <c r="G5" s="128" t="s">
        <v>100</v>
      </c>
      <c r="H5" s="128" t="s">
        <v>100</v>
      </c>
      <c r="J5" s="76"/>
      <c r="K5" s="78"/>
      <c r="L5" s="78"/>
    </row>
    <row r="6" spans="1:12" ht="24" customHeight="1">
      <c r="A6" s="79"/>
      <c r="B6" s="74"/>
      <c r="C6" s="128" t="s">
        <v>169</v>
      </c>
      <c r="D6" s="128" t="s">
        <v>169</v>
      </c>
      <c r="E6" s="128" t="s">
        <v>100</v>
      </c>
      <c r="F6" s="128" t="s">
        <v>168</v>
      </c>
      <c r="G6" s="128" t="s">
        <v>100</v>
      </c>
      <c r="H6" s="128" t="s">
        <v>168</v>
      </c>
      <c r="J6" s="76"/>
      <c r="K6" s="78"/>
      <c r="L6" s="78"/>
    </row>
    <row r="7" spans="1:12" ht="24" customHeight="1">
      <c r="A7" s="79"/>
      <c r="B7" s="74"/>
      <c r="C7" s="128" t="s">
        <v>168</v>
      </c>
      <c r="D7" s="128" t="s">
        <v>168</v>
      </c>
      <c r="E7" s="128" t="s">
        <v>168</v>
      </c>
      <c r="F7" s="128" t="s">
        <v>100</v>
      </c>
      <c r="G7" s="128" t="s">
        <v>101</v>
      </c>
      <c r="H7" s="128" t="s">
        <v>101</v>
      </c>
      <c r="J7" s="76"/>
      <c r="K7" s="78"/>
      <c r="L7" s="78"/>
    </row>
    <row r="8" spans="1:12" ht="24" customHeight="1">
      <c r="A8" s="79"/>
      <c r="B8" s="74"/>
      <c r="C8" s="128" t="s">
        <v>100</v>
      </c>
      <c r="D8" s="128" t="s">
        <v>100</v>
      </c>
      <c r="E8" s="128" t="s">
        <v>168</v>
      </c>
      <c r="F8" s="128" t="s">
        <v>100</v>
      </c>
      <c r="G8" s="128" t="s">
        <v>101</v>
      </c>
      <c r="H8" s="128" t="s">
        <v>100</v>
      </c>
      <c r="J8" s="76"/>
      <c r="K8" s="78"/>
      <c r="L8" s="78"/>
    </row>
    <row r="9" spans="1:12" ht="24" customHeight="1">
      <c r="A9" s="79"/>
      <c r="B9" s="74"/>
      <c r="C9" s="128" t="s">
        <v>169</v>
      </c>
      <c r="D9" s="128" t="s">
        <v>100</v>
      </c>
      <c r="E9" s="128" t="s">
        <v>168</v>
      </c>
      <c r="F9" s="128" t="s">
        <v>168</v>
      </c>
      <c r="G9" s="128" t="s">
        <v>100</v>
      </c>
      <c r="H9" s="128" t="s">
        <v>168</v>
      </c>
      <c r="J9" s="76"/>
      <c r="K9" s="78"/>
      <c r="L9" s="78"/>
    </row>
    <row r="10" spans="1:12" ht="24" customHeight="1">
      <c r="A10" s="79"/>
      <c r="B10" s="74"/>
      <c r="C10" s="128" t="s">
        <v>168</v>
      </c>
      <c r="D10" s="128" t="s">
        <v>168</v>
      </c>
      <c r="E10" s="128" t="s">
        <v>168</v>
      </c>
      <c r="F10" s="128" t="s">
        <v>168</v>
      </c>
      <c r="G10" s="128" t="s">
        <v>100</v>
      </c>
      <c r="H10" s="128" t="s">
        <v>100</v>
      </c>
      <c r="J10" s="76"/>
      <c r="K10" s="78"/>
      <c r="L10" s="78"/>
    </row>
    <row r="11" spans="1:12" ht="24" customHeight="1">
      <c r="A11" s="79"/>
      <c r="B11" s="74"/>
      <c r="C11" s="128" t="s">
        <v>100</v>
      </c>
      <c r="D11" s="128" t="s">
        <v>100</v>
      </c>
      <c r="E11" s="128" t="s">
        <v>100</v>
      </c>
      <c r="F11" s="128" t="s">
        <v>100</v>
      </c>
      <c r="G11" s="128" t="s">
        <v>100</v>
      </c>
      <c r="H11" s="128" t="s">
        <v>100</v>
      </c>
      <c r="J11" s="76"/>
      <c r="K11" s="78"/>
      <c r="L11" s="78"/>
    </row>
    <row r="12" spans="1:12" ht="24" customHeight="1">
      <c r="A12" s="79"/>
      <c r="B12" s="74"/>
      <c r="C12" s="128" t="s">
        <v>100</v>
      </c>
      <c r="D12" s="128" t="s">
        <v>101</v>
      </c>
      <c r="E12" s="128" t="s">
        <v>100</v>
      </c>
      <c r="F12" s="128" t="s">
        <v>100</v>
      </c>
      <c r="G12" s="128" t="s">
        <v>100</v>
      </c>
      <c r="H12" s="128" t="s">
        <v>101</v>
      </c>
      <c r="J12" s="76"/>
      <c r="K12" s="78"/>
      <c r="L12" s="78"/>
    </row>
    <row r="13" spans="1:12" ht="24" customHeight="1">
      <c r="A13" s="79"/>
      <c r="B13" s="74"/>
      <c r="C13" s="128" t="s">
        <v>169</v>
      </c>
      <c r="D13" s="128" t="s">
        <v>169</v>
      </c>
      <c r="E13" s="128" t="s">
        <v>168</v>
      </c>
      <c r="F13" s="128" t="s">
        <v>168</v>
      </c>
      <c r="G13" s="128" t="s">
        <v>168</v>
      </c>
      <c r="H13" s="128" t="s">
        <v>168</v>
      </c>
      <c r="J13" s="76"/>
      <c r="K13" s="78"/>
      <c r="L13" s="78"/>
    </row>
    <row r="14" spans="1:12" ht="24" customHeight="1">
      <c r="A14" s="79"/>
      <c r="B14" s="74"/>
      <c r="C14" s="128" t="s">
        <v>100</v>
      </c>
      <c r="D14" s="128" t="s">
        <v>100</v>
      </c>
      <c r="E14" s="128" t="s">
        <v>100</v>
      </c>
      <c r="F14" s="128" t="s">
        <v>100</v>
      </c>
      <c r="G14" s="128" t="s">
        <v>100</v>
      </c>
      <c r="H14" s="128" t="s">
        <v>100</v>
      </c>
      <c r="J14" s="76"/>
      <c r="K14" s="78"/>
      <c r="L14" s="78"/>
    </row>
    <row r="15" spans="1:12" ht="24" customHeight="1">
      <c r="A15" s="79"/>
      <c r="B15" s="74"/>
      <c r="C15" s="128" t="s">
        <v>168</v>
      </c>
      <c r="D15" s="128" t="s">
        <v>168</v>
      </c>
      <c r="E15" s="128" t="s">
        <v>100</v>
      </c>
      <c r="F15" s="128" t="s">
        <v>168</v>
      </c>
      <c r="G15" s="128" t="s">
        <v>100</v>
      </c>
      <c r="H15" s="128" t="s">
        <v>100</v>
      </c>
      <c r="J15" s="76"/>
      <c r="K15" s="78"/>
      <c r="L15" s="78"/>
    </row>
    <row r="16" spans="1:12" ht="24" customHeight="1">
      <c r="A16" s="79"/>
      <c r="B16" s="74"/>
      <c r="C16" s="128" t="s">
        <v>100</v>
      </c>
      <c r="D16" s="128" t="s">
        <v>100</v>
      </c>
      <c r="E16" s="128" t="s">
        <v>100</v>
      </c>
      <c r="F16" s="128" t="s">
        <v>100</v>
      </c>
      <c r="G16" s="128" t="s">
        <v>100</v>
      </c>
      <c r="H16" s="128" t="s">
        <v>100</v>
      </c>
      <c r="J16" s="76"/>
      <c r="K16" s="78"/>
      <c r="L16" s="78"/>
    </row>
    <row r="17" spans="1:12" ht="24" customHeight="1">
      <c r="A17" s="79"/>
      <c r="B17" s="74"/>
      <c r="C17" s="128" t="s">
        <v>100</v>
      </c>
      <c r="D17" s="128" t="s">
        <v>100</v>
      </c>
      <c r="E17" s="128" t="s">
        <v>100</v>
      </c>
      <c r="F17" s="128" t="s">
        <v>100</v>
      </c>
      <c r="G17" s="128" t="s">
        <v>101</v>
      </c>
      <c r="H17" s="128" t="s">
        <v>100</v>
      </c>
      <c r="J17" s="76"/>
      <c r="K17" s="78"/>
      <c r="L17" s="78"/>
    </row>
    <row r="18" spans="1:12" ht="24" customHeight="1">
      <c r="A18" s="79"/>
      <c r="B18" s="74"/>
      <c r="C18" s="128" t="s">
        <v>100</v>
      </c>
      <c r="D18" s="128" t="s">
        <v>100</v>
      </c>
      <c r="E18" s="128" t="s">
        <v>100</v>
      </c>
      <c r="F18" s="128" t="s">
        <v>101</v>
      </c>
      <c r="G18" s="128" t="s">
        <v>101</v>
      </c>
      <c r="H18" s="128" t="s">
        <v>100</v>
      </c>
      <c r="J18" s="76"/>
      <c r="K18" s="78"/>
      <c r="L18" s="78"/>
    </row>
    <row r="19" spans="1:12" ht="24" customHeight="1">
      <c r="A19" s="79"/>
      <c r="B19" s="74"/>
      <c r="C19" s="128" t="s">
        <v>100</v>
      </c>
      <c r="D19" s="128" t="s">
        <v>100</v>
      </c>
      <c r="E19" s="128" t="s">
        <v>100</v>
      </c>
      <c r="F19" s="128" t="s">
        <v>100</v>
      </c>
      <c r="G19" s="128" t="s">
        <v>100</v>
      </c>
      <c r="H19" s="128" t="s">
        <v>100</v>
      </c>
      <c r="J19" s="76"/>
      <c r="K19" s="78"/>
      <c r="L19" s="78"/>
    </row>
    <row r="20" spans="1:12" ht="24" customHeight="1">
      <c r="A20" s="79"/>
      <c r="B20" s="74"/>
      <c r="C20" s="128" t="s">
        <v>169</v>
      </c>
      <c r="D20" s="128" t="s">
        <v>169</v>
      </c>
      <c r="E20" s="128" t="s">
        <v>168</v>
      </c>
      <c r="F20" s="128" t="s">
        <v>168</v>
      </c>
      <c r="G20" s="128" t="s">
        <v>168</v>
      </c>
      <c r="H20" s="128" t="s">
        <v>101</v>
      </c>
      <c r="J20" s="76"/>
      <c r="K20" s="78"/>
      <c r="L20" s="78"/>
    </row>
    <row r="21" spans="1:12" ht="24" customHeight="1">
      <c r="A21" s="79"/>
      <c r="B21" s="74"/>
      <c r="C21" s="128" t="s">
        <v>168</v>
      </c>
      <c r="D21" s="128" t="s">
        <v>100</v>
      </c>
      <c r="E21" s="128" t="s">
        <v>100</v>
      </c>
      <c r="F21" s="128" t="s">
        <v>100</v>
      </c>
      <c r="G21" s="128" t="s">
        <v>100</v>
      </c>
      <c r="H21" s="128" t="s">
        <v>100</v>
      </c>
      <c r="J21" s="76"/>
      <c r="K21" s="78"/>
      <c r="L21" s="78"/>
    </row>
    <row r="22" spans="1:12" ht="24" customHeight="1">
      <c r="A22" s="79"/>
      <c r="B22" s="74"/>
      <c r="C22" s="128" t="s">
        <v>100</v>
      </c>
      <c r="D22" s="128" t="s">
        <v>100</v>
      </c>
      <c r="E22" s="128" t="s">
        <v>168</v>
      </c>
      <c r="F22" s="128" t="s">
        <v>100</v>
      </c>
      <c r="G22" s="128" t="s">
        <v>100</v>
      </c>
      <c r="H22" s="128" t="s">
        <v>100</v>
      </c>
      <c r="J22" s="76"/>
      <c r="K22" s="78"/>
      <c r="L22" s="78"/>
    </row>
    <row r="23" spans="1:12" ht="24" customHeight="1">
      <c r="A23" s="79"/>
      <c r="B23" s="74"/>
      <c r="C23" s="128" t="s">
        <v>100</v>
      </c>
      <c r="D23" s="128" t="s">
        <v>100</v>
      </c>
      <c r="E23" s="128" t="s">
        <v>100</v>
      </c>
      <c r="F23" s="128" t="s">
        <v>101</v>
      </c>
      <c r="G23" s="128" t="s">
        <v>101</v>
      </c>
      <c r="H23" s="128" t="s">
        <v>101</v>
      </c>
      <c r="I23" s="119"/>
      <c r="J23" s="76"/>
      <c r="K23" s="78"/>
      <c r="L23" s="78"/>
    </row>
    <row r="24" spans="1:12" ht="24" customHeight="1">
      <c r="A24" s="79"/>
      <c r="B24" s="74"/>
      <c r="C24" s="128" t="s">
        <v>168</v>
      </c>
      <c r="D24" s="128" t="s">
        <v>100</v>
      </c>
      <c r="E24" s="128" t="s">
        <v>100</v>
      </c>
      <c r="F24" s="128" t="s">
        <v>100</v>
      </c>
      <c r="G24" s="128" t="s">
        <v>100</v>
      </c>
      <c r="H24" s="128" t="s">
        <v>100</v>
      </c>
      <c r="I24" s="119"/>
      <c r="J24" s="76"/>
      <c r="K24" s="78"/>
      <c r="L24" s="78"/>
    </row>
    <row r="25" spans="1:12" ht="24" customHeight="1">
      <c r="A25" s="79"/>
      <c r="B25" s="74"/>
      <c r="C25" s="128" t="s">
        <v>168</v>
      </c>
      <c r="D25" s="128" t="s">
        <v>168</v>
      </c>
      <c r="E25" s="128" t="s">
        <v>100</v>
      </c>
      <c r="F25" s="128" t="s">
        <v>100</v>
      </c>
      <c r="G25" s="128" t="s">
        <v>100</v>
      </c>
      <c r="H25" s="128" t="s">
        <v>100</v>
      </c>
      <c r="I25" s="119"/>
      <c r="J25" s="76"/>
      <c r="K25" s="78"/>
      <c r="L25" s="78"/>
    </row>
    <row r="26" spans="1:12" ht="24" customHeight="1">
      <c r="A26" s="79"/>
      <c r="B26" s="74"/>
      <c r="C26" s="128" t="s">
        <v>169</v>
      </c>
      <c r="D26" s="128" t="s">
        <v>169</v>
      </c>
      <c r="E26" s="128" t="s">
        <v>168</v>
      </c>
      <c r="F26" s="128" t="s">
        <v>100</v>
      </c>
      <c r="G26" s="128" t="s">
        <v>100</v>
      </c>
      <c r="H26" s="128" t="s">
        <v>100</v>
      </c>
      <c r="I26" s="76"/>
      <c r="J26" s="76"/>
      <c r="K26" s="78"/>
      <c r="L26" s="78"/>
    </row>
    <row r="27" spans="1:12" ht="24" customHeight="1">
      <c r="A27" s="79"/>
      <c r="B27" s="74"/>
      <c r="C27" s="128" t="s">
        <v>100</v>
      </c>
      <c r="D27" s="128" t="s">
        <v>169</v>
      </c>
      <c r="E27" s="128" t="s">
        <v>168</v>
      </c>
      <c r="F27" s="128" t="s">
        <v>100</v>
      </c>
      <c r="G27" s="128" t="s">
        <v>100</v>
      </c>
      <c r="H27" s="128" t="s">
        <v>100</v>
      </c>
      <c r="I27" s="76"/>
      <c r="J27" s="76"/>
      <c r="K27" s="78"/>
      <c r="L27" s="78"/>
    </row>
    <row r="28" spans="1:12" ht="24" customHeight="1">
      <c r="A28" s="79"/>
      <c r="B28" s="74"/>
      <c r="C28" s="128" t="s">
        <v>168</v>
      </c>
      <c r="D28" s="128" t="s">
        <v>168</v>
      </c>
      <c r="E28" s="128" t="s">
        <v>168</v>
      </c>
      <c r="F28" s="128" t="s">
        <v>168</v>
      </c>
      <c r="G28" s="128" t="s">
        <v>168</v>
      </c>
      <c r="H28" s="128" t="s">
        <v>101</v>
      </c>
      <c r="I28" s="76"/>
      <c r="J28" s="76"/>
      <c r="K28" s="78"/>
      <c r="L28" s="78"/>
    </row>
    <row r="29" spans="1:12" ht="24" customHeight="1">
      <c r="A29" s="79"/>
      <c r="B29" s="74"/>
      <c r="C29" s="128" t="s">
        <v>100</v>
      </c>
      <c r="D29" s="128" t="s">
        <v>100</v>
      </c>
      <c r="E29" s="128" t="s">
        <v>100</v>
      </c>
      <c r="F29" s="128" t="s">
        <v>168</v>
      </c>
      <c r="G29" s="128" t="s">
        <v>168</v>
      </c>
      <c r="H29" s="128" t="s">
        <v>100</v>
      </c>
      <c r="I29" s="76"/>
      <c r="J29" s="76"/>
      <c r="K29" s="78"/>
      <c r="L29" s="78"/>
    </row>
    <row r="30" spans="1:12" ht="24" customHeight="1">
      <c r="A30" s="79"/>
      <c r="B30" s="74"/>
      <c r="C30" s="128" t="s">
        <v>100</v>
      </c>
      <c r="D30" s="128" t="s">
        <v>100</v>
      </c>
      <c r="E30" s="128" t="s">
        <v>168</v>
      </c>
      <c r="F30" s="128" t="s">
        <v>100</v>
      </c>
      <c r="G30" s="128" t="s">
        <v>100</v>
      </c>
      <c r="H30" s="128" t="s">
        <v>170</v>
      </c>
      <c r="I30" s="76"/>
      <c r="J30" s="76"/>
      <c r="K30" s="78"/>
      <c r="L30" s="78"/>
    </row>
    <row r="31" spans="1:12" ht="24" customHeight="1">
      <c r="A31" s="79"/>
      <c r="B31" s="74"/>
      <c r="C31" s="128" t="s">
        <v>168</v>
      </c>
      <c r="D31" s="128" t="s">
        <v>168</v>
      </c>
      <c r="E31" s="128" t="s">
        <v>168</v>
      </c>
      <c r="F31" s="128" t="s">
        <v>168</v>
      </c>
      <c r="G31" s="128" t="s">
        <v>168</v>
      </c>
      <c r="H31" s="128" t="s">
        <v>168</v>
      </c>
      <c r="I31" s="76"/>
      <c r="J31" s="76"/>
      <c r="K31" s="78"/>
      <c r="L31" s="78"/>
    </row>
    <row r="32" spans="1:12" ht="24" customHeight="1">
      <c r="A32" s="79"/>
      <c r="B32" s="74"/>
      <c r="C32" s="128" t="s">
        <v>168</v>
      </c>
      <c r="D32" s="128" t="s">
        <v>168</v>
      </c>
      <c r="E32" s="128" t="s">
        <v>168</v>
      </c>
      <c r="F32" s="128" t="s">
        <v>168</v>
      </c>
      <c r="G32" s="128" t="s">
        <v>168</v>
      </c>
      <c r="H32" s="128" t="s">
        <v>168</v>
      </c>
      <c r="I32" s="76"/>
      <c r="J32" s="76"/>
      <c r="K32" s="78"/>
      <c r="L32" s="78"/>
    </row>
    <row r="33" spans="1:12" ht="24" customHeight="1">
      <c r="A33" s="79"/>
      <c r="B33" s="74"/>
      <c r="C33" s="128" t="s">
        <v>101</v>
      </c>
      <c r="D33" s="128" t="s">
        <v>101</v>
      </c>
      <c r="E33" s="128" t="s">
        <v>100</v>
      </c>
      <c r="F33" s="128" t="s">
        <v>100</v>
      </c>
      <c r="G33" s="128" t="s">
        <v>101</v>
      </c>
      <c r="H33" s="128" t="s">
        <v>100</v>
      </c>
      <c r="I33" s="76"/>
      <c r="J33" s="76"/>
      <c r="K33" s="78"/>
      <c r="L33" s="78"/>
    </row>
    <row r="34" spans="1:12" ht="24" customHeight="1">
      <c r="A34" s="79"/>
      <c r="B34" s="74"/>
      <c r="C34" s="128" t="s">
        <v>100</v>
      </c>
      <c r="D34" s="128" t="s">
        <v>100</v>
      </c>
      <c r="E34" s="128" t="s">
        <v>100</v>
      </c>
      <c r="F34" s="128" t="s">
        <v>100</v>
      </c>
      <c r="G34" s="128" t="s">
        <v>100</v>
      </c>
      <c r="H34" s="128" t="s">
        <v>100</v>
      </c>
      <c r="I34" s="76"/>
      <c r="J34" s="76"/>
      <c r="K34" s="78"/>
      <c r="L34" s="78"/>
    </row>
    <row r="35" spans="1:12" ht="24" customHeight="1">
      <c r="A35" s="79"/>
      <c r="B35" s="74"/>
      <c r="C35" s="128" t="s">
        <v>101</v>
      </c>
      <c r="D35" s="128" t="s">
        <v>101</v>
      </c>
      <c r="E35" s="128" t="s">
        <v>100</v>
      </c>
      <c r="F35" s="128" t="s">
        <v>100</v>
      </c>
      <c r="G35" s="128" t="s">
        <v>100</v>
      </c>
      <c r="H35" s="128" t="s">
        <v>101</v>
      </c>
      <c r="I35" s="76"/>
      <c r="J35" s="76"/>
      <c r="K35" s="78"/>
      <c r="L35" s="78"/>
    </row>
    <row r="36" spans="1:12" ht="24" customHeight="1">
      <c r="A36" s="79"/>
      <c r="B36" s="74"/>
      <c r="C36" s="128" t="s">
        <v>168</v>
      </c>
      <c r="D36" s="128" t="s">
        <v>100</v>
      </c>
      <c r="E36" s="128" t="s">
        <v>168</v>
      </c>
      <c r="F36" s="128" t="s">
        <v>168</v>
      </c>
      <c r="G36" s="128" t="s">
        <v>100</v>
      </c>
      <c r="H36" s="128" t="s">
        <v>168</v>
      </c>
      <c r="I36" s="76"/>
      <c r="J36" s="76"/>
      <c r="K36" s="78"/>
      <c r="L36" s="78"/>
    </row>
    <row r="37" spans="1:12" ht="24" customHeight="1">
      <c r="A37" s="79"/>
      <c r="B37" s="74"/>
      <c r="C37" s="128" t="s">
        <v>100</v>
      </c>
      <c r="D37" s="128" t="s">
        <v>100</v>
      </c>
      <c r="E37" s="128" t="s">
        <v>100</v>
      </c>
      <c r="F37" s="128" t="s">
        <v>100</v>
      </c>
      <c r="G37" s="128" t="s">
        <v>100</v>
      </c>
      <c r="H37" s="128" t="s">
        <v>100</v>
      </c>
      <c r="I37" s="76"/>
      <c r="J37" s="76"/>
      <c r="K37" s="78"/>
      <c r="L37" s="78"/>
    </row>
    <row r="38" spans="1:12" ht="24" customHeight="1">
      <c r="A38" s="79"/>
      <c r="B38" s="74"/>
      <c r="C38" s="128" t="s">
        <v>168</v>
      </c>
      <c r="D38" s="128" t="s">
        <v>168</v>
      </c>
      <c r="E38" s="128" t="s">
        <v>168</v>
      </c>
      <c r="F38" s="128" t="s">
        <v>168</v>
      </c>
      <c r="G38" s="128" t="s">
        <v>168</v>
      </c>
      <c r="H38" s="128" t="s">
        <v>168</v>
      </c>
      <c r="I38" s="76"/>
      <c r="J38" s="76"/>
      <c r="K38" s="78"/>
      <c r="L38" s="78"/>
    </row>
    <row r="39" spans="1:12" ht="24" customHeight="1">
      <c r="A39" s="79"/>
      <c r="B39" s="74"/>
      <c r="C39" s="128" t="s">
        <v>169</v>
      </c>
      <c r="D39" s="128" t="s">
        <v>169</v>
      </c>
      <c r="E39" s="128" t="s">
        <v>168</v>
      </c>
      <c r="F39" s="128" t="s">
        <v>168</v>
      </c>
      <c r="G39" s="128" t="s">
        <v>168</v>
      </c>
      <c r="H39" s="128" t="s">
        <v>168</v>
      </c>
      <c r="I39" s="76"/>
      <c r="J39" s="76"/>
      <c r="K39" s="78"/>
      <c r="L39" s="78"/>
    </row>
    <row r="40" spans="1:12" ht="24" customHeight="1">
      <c r="A40" s="79"/>
      <c r="B40" s="74"/>
      <c r="C40" s="128" t="s">
        <v>100</v>
      </c>
      <c r="D40" s="128" t="s">
        <v>100</v>
      </c>
      <c r="E40" s="128" t="s">
        <v>100</v>
      </c>
      <c r="F40" s="128" t="s">
        <v>100</v>
      </c>
      <c r="G40" s="128" t="s">
        <v>100</v>
      </c>
      <c r="H40" s="128" t="s">
        <v>100</v>
      </c>
      <c r="I40" s="76"/>
      <c r="J40" s="76"/>
      <c r="K40" s="78"/>
      <c r="L40" s="78"/>
    </row>
    <row r="41" spans="1:12" ht="24" customHeight="1">
      <c r="A41" s="79"/>
      <c r="B41" s="74"/>
      <c r="C41" s="128" t="s">
        <v>100</v>
      </c>
      <c r="D41" s="128" t="s">
        <v>100</v>
      </c>
      <c r="E41" s="128" t="s">
        <v>100</v>
      </c>
      <c r="F41" s="128" t="s">
        <v>100</v>
      </c>
      <c r="G41" s="128" t="s">
        <v>100</v>
      </c>
      <c r="H41" s="128" t="s">
        <v>100</v>
      </c>
      <c r="I41" s="76"/>
      <c r="J41" s="76"/>
      <c r="K41" s="78"/>
      <c r="L41" s="78"/>
    </row>
    <row r="42" spans="1:12" ht="24" customHeight="1">
      <c r="A42" s="79"/>
      <c r="B42" s="74"/>
      <c r="C42" s="128" t="s">
        <v>169</v>
      </c>
      <c r="D42" s="128" t="s">
        <v>100</v>
      </c>
      <c r="E42" s="128" t="s">
        <v>100</v>
      </c>
      <c r="F42" s="128" t="s">
        <v>100</v>
      </c>
      <c r="G42" s="128" t="s">
        <v>100</v>
      </c>
      <c r="H42" s="128" t="s">
        <v>100</v>
      </c>
      <c r="I42" s="76"/>
      <c r="J42" s="76"/>
      <c r="K42" s="78"/>
      <c r="L42" s="78"/>
    </row>
    <row r="43" spans="1:12" ht="24" customHeight="1">
      <c r="A43" s="79"/>
      <c r="B43" s="74"/>
      <c r="C43" s="128" t="s">
        <v>100</v>
      </c>
      <c r="D43" s="128" t="s">
        <v>169</v>
      </c>
      <c r="E43" s="128" t="s">
        <v>168</v>
      </c>
      <c r="F43" s="128" t="s">
        <v>100</v>
      </c>
      <c r="G43" s="128" t="s">
        <v>100</v>
      </c>
      <c r="H43" s="128" t="s">
        <v>100</v>
      </c>
      <c r="I43" s="76"/>
      <c r="J43" s="76"/>
      <c r="K43" s="78"/>
      <c r="L43" s="78"/>
    </row>
    <row r="44" spans="1:12" ht="24" customHeight="1">
      <c r="A44" s="79"/>
      <c r="B44" s="74"/>
      <c r="C44" s="128" t="s">
        <v>100</v>
      </c>
      <c r="D44" s="128" t="s">
        <v>100</v>
      </c>
      <c r="E44" s="128" t="s">
        <v>100</v>
      </c>
      <c r="F44" s="128" t="s">
        <v>100</v>
      </c>
      <c r="G44" s="128" t="s">
        <v>100</v>
      </c>
      <c r="H44" s="128" t="s">
        <v>100</v>
      </c>
      <c r="I44" s="76"/>
      <c r="J44" s="76"/>
      <c r="K44" s="78"/>
      <c r="L44" s="78"/>
    </row>
    <row r="45" spans="1:12" ht="24" customHeight="1">
      <c r="A45" s="79"/>
      <c r="B45" s="74"/>
      <c r="C45" s="128" t="s">
        <v>100</v>
      </c>
      <c r="D45" s="128" t="s">
        <v>100</v>
      </c>
      <c r="E45" s="128" t="s">
        <v>168</v>
      </c>
      <c r="F45" s="128" t="s">
        <v>100</v>
      </c>
      <c r="G45" s="128" t="s">
        <v>100</v>
      </c>
      <c r="H45" s="128" t="s">
        <v>100</v>
      </c>
      <c r="I45" s="76"/>
      <c r="J45" s="76"/>
      <c r="K45" s="78"/>
      <c r="L45" s="78"/>
    </row>
    <row r="46" spans="1:12" ht="24" customHeight="1">
      <c r="A46" s="79"/>
      <c r="B46" s="74"/>
      <c r="C46" s="128" t="s">
        <v>169</v>
      </c>
      <c r="D46" s="128" t="s">
        <v>169</v>
      </c>
      <c r="E46" s="128" t="s">
        <v>168</v>
      </c>
      <c r="F46" s="128" t="s">
        <v>168</v>
      </c>
      <c r="G46" s="128" t="s">
        <v>168</v>
      </c>
      <c r="H46" s="128" t="s">
        <v>168</v>
      </c>
      <c r="I46" s="76"/>
      <c r="J46" s="76"/>
      <c r="K46" s="78"/>
      <c r="L46" s="78"/>
    </row>
    <row r="47" spans="1:12" ht="24" customHeight="1">
      <c r="A47" s="79"/>
      <c r="B47" s="74"/>
      <c r="C47" s="128" t="s">
        <v>101</v>
      </c>
      <c r="D47" s="128" t="s">
        <v>101</v>
      </c>
      <c r="E47" s="128" t="s">
        <v>100</v>
      </c>
      <c r="F47" s="128" t="s">
        <v>100</v>
      </c>
      <c r="G47" s="128" t="s">
        <v>100</v>
      </c>
      <c r="H47" s="128" t="s">
        <v>100</v>
      </c>
      <c r="I47" s="76"/>
      <c r="J47" s="76"/>
      <c r="K47" s="78"/>
      <c r="L47" s="78"/>
    </row>
    <row r="48" spans="1:12" ht="24" customHeight="1">
      <c r="A48" s="79"/>
      <c r="B48" s="74"/>
      <c r="C48" s="128" t="s">
        <v>100</v>
      </c>
      <c r="D48" s="128" t="s">
        <v>100</v>
      </c>
      <c r="E48" s="128" t="s">
        <v>100</v>
      </c>
      <c r="F48" s="128" t="s">
        <v>101</v>
      </c>
      <c r="G48" s="128" t="s">
        <v>100</v>
      </c>
      <c r="H48" s="128" t="s">
        <v>101</v>
      </c>
      <c r="I48" s="76"/>
      <c r="J48" s="76"/>
      <c r="K48" s="78"/>
      <c r="L48" s="78"/>
    </row>
    <row r="49" spans="1:12" ht="24" customHeight="1">
      <c r="A49" s="79"/>
      <c r="B49" s="74"/>
      <c r="C49" s="128" t="s">
        <v>168</v>
      </c>
      <c r="D49" s="128" t="s">
        <v>168</v>
      </c>
      <c r="E49" s="128" t="s">
        <v>168</v>
      </c>
      <c r="F49" s="128" t="s">
        <v>168</v>
      </c>
      <c r="G49" s="128" t="s">
        <v>100</v>
      </c>
      <c r="H49" s="128" t="s">
        <v>100</v>
      </c>
      <c r="I49" s="76"/>
      <c r="J49" s="76"/>
      <c r="K49" s="78"/>
      <c r="L49" s="78"/>
    </row>
    <row r="50" spans="1:12" ht="24" customHeight="1">
      <c r="A50" s="79"/>
      <c r="B50" s="74"/>
      <c r="C50" s="128" t="s">
        <v>100</v>
      </c>
      <c r="D50" s="128" t="s">
        <v>100</v>
      </c>
      <c r="E50" s="128" t="s">
        <v>100</v>
      </c>
      <c r="F50" s="128" t="s">
        <v>100</v>
      </c>
      <c r="G50" s="128" t="s">
        <v>100</v>
      </c>
      <c r="H50" s="128" t="s">
        <v>100</v>
      </c>
      <c r="I50" s="76"/>
      <c r="J50" s="76"/>
      <c r="K50" s="78"/>
      <c r="L50" s="78"/>
    </row>
    <row r="51" spans="1:12" ht="24" customHeight="1">
      <c r="A51" s="79"/>
      <c r="B51" s="74"/>
      <c r="C51" s="128" t="s">
        <v>100</v>
      </c>
      <c r="D51" s="128" t="s">
        <v>100</v>
      </c>
      <c r="E51" s="128" t="s">
        <v>100</v>
      </c>
      <c r="F51" s="128" t="s">
        <v>100</v>
      </c>
      <c r="G51" s="128" t="s">
        <v>168</v>
      </c>
      <c r="H51" s="128" t="s">
        <v>100</v>
      </c>
      <c r="I51" s="76"/>
      <c r="J51" s="76"/>
      <c r="K51" s="78"/>
      <c r="L51" s="78"/>
    </row>
    <row r="52" spans="1:12" ht="24" customHeight="1">
      <c r="A52" s="79"/>
      <c r="B52" s="74"/>
      <c r="C52" s="128" t="s">
        <v>169</v>
      </c>
      <c r="D52" s="128" t="s">
        <v>169</v>
      </c>
      <c r="E52" s="128" t="s">
        <v>168</v>
      </c>
      <c r="F52" s="128" t="s">
        <v>168</v>
      </c>
      <c r="G52" s="128" t="s">
        <v>100</v>
      </c>
      <c r="H52" s="128" t="s">
        <v>100</v>
      </c>
      <c r="I52" s="76"/>
      <c r="J52" s="76"/>
      <c r="K52" s="78"/>
      <c r="L52" s="78"/>
    </row>
    <row r="53" spans="1:12" ht="24" customHeight="1">
      <c r="A53" s="79"/>
      <c r="B53" s="74"/>
      <c r="C53" s="128" t="s">
        <v>169</v>
      </c>
      <c r="D53" s="128" t="s">
        <v>100</v>
      </c>
      <c r="E53" s="128" t="s">
        <v>168</v>
      </c>
      <c r="F53" s="128" t="s">
        <v>100</v>
      </c>
      <c r="G53" s="128" t="s">
        <v>168</v>
      </c>
      <c r="H53" s="128" t="s">
        <v>100</v>
      </c>
      <c r="I53" s="76"/>
      <c r="J53" s="76"/>
      <c r="K53" s="78"/>
      <c r="L53" s="78"/>
    </row>
    <row r="54" spans="1:12" ht="24" customHeight="1">
      <c r="A54" s="79"/>
      <c r="B54" s="74"/>
      <c r="C54" s="128" t="s">
        <v>100</v>
      </c>
      <c r="D54" s="128" t="s">
        <v>100</v>
      </c>
      <c r="E54" s="128" t="s">
        <v>100</v>
      </c>
      <c r="F54" s="128" t="s">
        <v>100</v>
      </c>
      <c r="G54" s="128" t="s">
        <v>100</v>
      </c>
      <c r="H54" s="128" t="s">
        <v>100</v>
      </c>
      <c r="I54" s="76"/>
      <c r="J54" s="76"/>
      <c r="K54" s="78"/>
      <c r="L54" s="78"/>
    </row>
    <row r="55" spans="1:12" ht="24" customHeight="1">
      <c r="A55" s="79"/>
      <c r="B55" s="74"/>
      <c r="C55" s="128" t="s">
        <v>100</v>
      </c>
      <c r="D55" s="128" t="s">
        <v>100</v>
      </c>
      <c r="E55" s="128" t="s">
        <v>100</v>
      </c>
      <c r="F55" s="128" t="s">
        <v>100</v>
      </c>
      <c r="G55" s="128" t="s">
        <v>100</v>
      </c>
      <c r="H55" s="128" t="s">
        <v>100</v>
      </c>
      <c r="I55" s="76"/>
      <c r="J55" s="76"/>
      <c r="K55" s="78"/>
      <c r="L55" s="78"/>
    </row>
    <row r="56" spans="1:12" ht="24" customHeight="1">
      <c r="A56" s="79"/>
      <c r="B56" s="74"/>
      <c r="C56" s="76"/>
      <c r="D56" s="76"/>
      <c r="E56" s="76"/>
      <c r="F56" s="76"/>
      <c r="G56" s="76"/>
      <c r="H56" s="76"/>
      <c r="I56" s="76"/>
      <c r="J56" s="76"/>
      <c r="K56" s="78"/>
      <c r="L56" s="78"/>
    </row>
    <row r="57" spans="1:12" ht="24" customHeight="1">
      <c r="A57" s="79"/>
      <c r="B57" s="74"/>
      <c r="C57" s="76"/>
      <c r="D57" s="76"/>
      <c r="E57" s="76"/>
      <c r="F57" s="76"/>
      <c r="G57" s="76"/>
      <c r="H57" s="76"/>
      <c r="I57" s="76"/>
      <c r="J57" s="76"/>
      <c r="K57" s="78"/>
      <c r="L57" s="78"/>
    </row>
    <row r="58" spans="1:12" ht="24" customHeight="1">
      <c r="A58" s="79"/>
      <c r="B58" s="74"/>
      <c r="C58" s="76"/>
      <c r="D58" s="76"/>
      <c r="E58" s="76"/>
      <c r="F58" s="76"/>
      <c r="G58" s="76"/>
      <c r="H58" s="76"/>
      <c r="I58" s="76"/>
      <c r="J58" s="76"/>
      <c r="K58" s="78"/>
      <c r="L58" s="78"/>
    </row>
    <row r="59" spans="1:12" ht="24" customHeight="1">
      <c r="A59" s="79"/>
      <c r="B59" s="74"/>
      <c r="C59" s="76"/>
      <c r="D59" s="76"/>
      <c r="E59" s="76"/>
      <c r="F59" s="76"/>
      <c r="G59" s="76"/>
      <c r="H59" s="76"/>
      <c r="I59" s="76"/>
      <c r="J59" s="76"/>
      <c r="K59" s="78"/>
      <c r="L59" s="78"/>
    </row>
    <row r="60" spans="1:12" ht="24" customHeight="1">
      <c r="A60" s="79"/>
      <c r="B60" s="74"/>
      <c r="C60" s="76"/>
      <c r="D60" s="76"/>
      <c r="E60" s="76"/>
      <c r="F60" s="76"/>
      <c r="G60" s="76"/>
      <c r="H60" s="76"/>
      <c r="I60" s="76"/>
      <c r="J60" s="76"/>
      <c r="K60" s="78"/>
      <c r="L60" s="78"/>
    </row>
    <row r="61" spans="1:12" ht="24" customHeight="1">
      <c r="A61" s="79"/>
      <c r="B61" s="74"/>
      <c r="C61" s="76"/>
      <c r="D61" s="76"/>
      <c r="E61" s="76"/>
      <c r="F61" s="76"/>
      <c r="G61" s="76"/>
      <c r="H61" s="76"/>
      <c r="I61" s="76"/>
      <c r="J61" s="76"/>
      <c r="K61" s="78"/>
      <c r="L61" s="78"/>
    </row>
    <row r="62" spans="1:12" ht="24" customHeight="1">
      <c r="A62" s="79"/>
      <c r="B62" s="74"/>
      <c r="C62" s="76"/>
      <c r="D62" s="76"/>
      <c r="E62" s="76"/>
      <c r="F62" s="76"/>
      <c r="G62" s="76"/>
      <c r="H62" s="76"/>
      <c r="I62" s="76"/>
      <c r="J62" s="76"/>
      <c r="K62" s="78"/>
      <c r="L62" s="78"/>
    </row>
    <row r="63" spans="1:12" ht="24" customHeight="1">
      <c r="A63" s="79"/>
      <c r="B63" s="74"/>
      <c r="C63" s="76"/>
      <c r="D63" s="76"/>
      <c r="E63" s="76"/>
      <c r="F63" s="76"/>
      <c r="G63" s="76"/>
      <c r="H63" s="76"/>
      <c r="I63" s="76"/>
      <c r="J63" s="76"/>
      <c r="K63" s="78"/>
      <c r="L63" s="78"/>
    </row>
    <row r="64" spans="1:12" ht="24" customHeight="1">
      <c r="A64" s="79"/>
      <c r="B64" s="74"/>
      <c r="C64" s="76"/>
      <c r="D64" s="76"/>
      <c r="E64" s="76"/>
      <c r="F64" s="76"/>
      <c r="G64" s="76"/>
      <c r="H64" s="76"/>
      <c r="I64" s="76"/>
      <c r="J64" s="76"/>
      <c r="K64" s="78"/>
      <c r="L64" s="78"/>
    </row>
    <row r="65" spans="1:12" ht="24" customHeight="1">
      <c r="A65" s="79"/>
      <c r="B65" s="74"/>
      <c r="C65" s="76"/>
      <c r="D65" s="76"/>
      <c r="E65" s="76"/>
      <c r="F65" s="76"/>
      <c r="G65" s="76"/>
      <c r="H65" s="76"/>
      <c r="I65" s="76"/>
      <c r="J65" s="76"/>
      <c r="K65" s="78"/>
      <c r="L65" s="78"/>
    </row>
    <row r="66" spans="1:12" ht="24" customHeight="1">
      <c r="A66" s="79"/>
      <c r="B66" s="74"/>
      <c r="C66" s="76"/>
      <c r="D66" s="76"/>
      <c r="E66" s="76"/>
      <c r="F66" s="76"/>
      <c r="G66" s="76"/>
      <c r="H66" s="76"/>
      <c r="I66" s="76"/>
      <c r="J66" s="76"/>
      <c r="K66" s="78"/>
      <c r="L66" s="78"/>
    </row>
    <row r="67" spans="1:12" ht="24" customHeight="1">
      <c r="A67" s="79"/>
      <c r="B67" s="74"/>
      <c r="C67" s="76"/>
      <c r="D67" s="76"/>
      <c r="E67" s="76"/>
      <c r="F67" s="76"/>
      <c r="G67" s="76"/>
      <c r="H67" s="76"/>
      <c r="I67" s="76"/>
      <c r="J67" s="76"/>
      <c r="K67" s="78"/>
      <c r="L67" s="78"/>
    </row>
    <row r="68" spans="1:12" ht="24" customHeight="1">
      <c r="A68" s="79"/>
      <c r="B68" s="74"/>
      <c r="C68" s="76"/>
      <c r="D68" s="76"/>
      <c r="E68" s="76"/>
      <c r="F68" s="76"/>
      <c r="G68" s="76"/>
      <c r="H68" s="76"/>
      <c r="I68" s="76"/>
      <c r="J68" s="76"/>
      <c r="K68" s="78"/>
      <c r="L68" s="78"/>
    </row>
    <row r="69" spans="1:12" ht="24" customHeight="1">
      <c r="A69" s="79"/>
      <c r="B69" s="74"/>
      <c r="C69" s="76"/>
      <c r="D69" s="76"/>
      <c r="E69" s="76"/>
      <c r="F69" s="76"/>
      <c r="G69" s="76"/>
      <c r="H69" s="76"/>
      <c r="I69" s="76"/>
      <c r="J69" s="76"/>
      <c r="K69" s="78"/>
      <c r="L69" s="78"/>
    </row>
    <row r="70" spans="1:12" ht="24" customHeight="1">
      <c r="A70" s="79"/>
      <c r="B70" s="74"/>
      <c r="C70" s="76"/>
      <c r="D70" s="76"/>
      <c r="E70" s="76"/>
      <c r="F70" s="76"/>
      <c r="G70" s="76"/>
      <c r="H70" s="76"/>
      <c r="I70" s="76"/>
      <c r="J70" s="76"/>
      <c r="K70" s="78"/>
      <c r="L70" s="78"/>
    </row>
    <row r="71" spans="1:12" ht="24" customHeight="1">
      <c r="A71" s="79"/>
      <c r="B71" s="74"/>
      <c r="C71" s="76"/>
      <c r="D71" s="76"/>
      <c r="E71" s="76"/>
      <c r="F71" s="76"/>
      <c r="G71" s="76"/>
      <c r="H71" s="76"/>
      <c r="I71" s="76"/>
      <c r="J71" s="76"/>
      <c r="K71" s="78"/>
      <c r="L71" s="78"/>
    </row>
    <row r="72" spans="1:12" ht="24" customHeight="1">
      <c r="A72" s="79"/>
      <c r="B72" s="74"/>
      <c r="C72" s="76"/>
      <c r="D72" s="76"/>
      <c r="E72" s="76"/>
      <c r="F72" s="76"/>
      <c r="G72" s="76"/>
      <c r="H72" s="76"/>
      <c r="I72" s="76"/>
      <c r="J72" s="76"/>
      <c r="K72" s="78"/>
      <c r="L72" s="78"/>
    </row>
    <row r="73" spans="1:12" ht="15.75">
      <c r="A73" s="79"/>
      <c r="B73" s="74"/>
      <c r="C73" s="77"/>
      <c r="D73" s="77"/>
      <c r="E73" s="77"/>
      <c r="F73" s="77"/>
      <c r="G73" s="77"/>
      <c r="H73" s="77"/>
      <c r="I73" s="77"/>
      <c r="J73" s="77"/>
      <c r="K73" s="78"/>
      <c r="L73" s="78"/>
    </row>
    <row r="74" spans="1:12">
      <c r="A74" s="79"/>
      <c r="B74" s="74"/>
      <c r="C74" s="78"/>
      <c r="D74" s="78"/>
      <c r="E74" s="78"/>
      <c r="F74" s="78"/>
      <c r="G74" s="78"/>
      <c r="H74" s="78"/>
      <c r="I74" s="78"/>
      <c r="J74" s="78"/>
      <c r="K74" s="78"/>
      <c r="L74" s="78"/>
    </row>
    <row r="75" spans="1:12">
      <c r="A75" s="75"/>
      <c r="B75" s="75"/>
      <c r="C75" s="78"/>
      <c r="D75" s="78"/>
      <c r="E75" s="78"/>
      <c r="F75" s="78"/>
      <c r="G75" s="78"/>
      <c r="H75" s="78"/>
      <c r="I75" s="78"/>
      <c r="J75" s="78"/>
      <c r="K75" s="78"/>
      <c r="L75" s="78"/>
    </row>
    <row r="76" spans="1:12" ht="15.75">
      <c r="A76" s="80"/>
      <c r="B76" s="112" t="s">
        <v>81</v>
      </c>
      <c r="C76" s="81">
        <v>2.3962264150943398</v>
      </c>
      <c r="D76" s="81">
        <v>2.3773584905660377</v>
      </c>
      <c r="E76" s="81">
        <v>2.7169811320754715</v>
      </c>
      <c r="F76" s="81">
        <v>2.6226415094339623</v>
      </c>
      <c r="G76" s="81">
        <v>2.5471698113207548</v>
      </c>
      <c r="H76" s="81">
        <v>2.5</v>
      </c>
      <c r="I76" s="81"/>
      <c r="J76" s="81"/>
      <c r="K76" s="95"/>
      <c r="L76" s="95"/>
    </row>
    <row r="78" spans="1:12" ht="25.5">
      <c r="B78" s="110" t="s">
        <v>82</v>
      </c>
      <c r="C78" s="111">
        <f>SUM(C76:L76)/C1</f>
        <v>2.5267295597484276</v>
      </c>
    </row>
  </sheetData>
  <mergeCells count="2">
    <mergeCell ref="A1:B1"/>
    <mergeCell ref="D1:E1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1"/>
  <dimension ref="A1:P83"/>
  <sheetViews>
    <sheetView topLeftCell="A58" zoomScale="85" zoomScaleNormal="85" workbookViewId="0">
      <selection activeCell="C72" sqref="C72"/>
    </sheetView>
  </sheetViews>
  <sheetFormatPr defaultRowHeight="15"/>
  <cols>
    <col min="1" max="1" width="5.85546875" style="3" bestFit="1" customWidth="1"/>
    <col min="2" max="2" width="12.42578125" style="3" customWidth="1"/>
    <col min="3" max="3" width="40.7109375" style="4" customWidth="1"/>
    <col min="4" max="5" width="9.140625" style="84"/>
  </cols>
  <sheetData>
    <row r="1" spans="1:16">
      <c r="A1" s="151" t="s">
        <v>69</v>
      </c>
      <c r="B1" s="151"/>
      <c r="C1" s="100">
        <v>50</v>
      </c>
    </row>
    <row r="2" spans="1:16">
      <c r="A2" s="16" t="s">
        <v>21</v>
      </c>
      <c r="B2" s="57"/>
      <c r="C2" s="55">
        <f>'ST-I'!C2</f>
        <v>6</v>
      </c>
      <c r="F2" s="130" t="s">
        <v>39</v>
      </c>
      <c r="G2" s="130"/>
      <c r="H2" s="86">
        <v>61</v>
      </c>
      <c r="J2" s="130" t="s">
        <v>43</v>
      </c>
      <c r="K2" s="130"/>
      <c r="L2" s="7" t="s">
        <v>45</v>
      </c>
    </row>
    <row r="3" spans="1:16">
      <c r="A3" s="135" t="s">
        <v>24</v>
      </c>
      <c r="B3" s="135"/>
      <c r="C3" s="156" t="str">
        <f>'ST-I'!C3:H3</f>
        <v>CS304 COMPILER DESIGN</v>
      </c>
      <c r="D3" s="156"/>
      <c r="E3" s="156"/>
      <c r="F3" s="156"/>
      <c r="G3" s="156"/>
      <c r="H3" s="156"/>
      <c r="P3" s="85" t="s">
        <v>44</v>
      </c>
    </row>
    <row r="4" spans="1:16">
      <c r="A4" s="153" t="s">
        <v>47</v>
      </c>
      <c r="B4" s="153"/>
      <c r="C4" s="153"/>
      <c r="D4" s="153"/>
      <c r="E4" s="153"/>
      <c r="F4" s="153"/>
      <c r="G4" s="153"/>
      <c r="H4" s="153"/>
      <c r="I4" s="153"/>
      <c r="J4" s="153"/>
      <c r="K4" s="153"/>
      <c r="L4" s="153"/>
      <c r="P4" s="85" t="s">
        <v>45</v>
      </c>
    </row>
    <row r="5" spans="1:16" ht="12.75">
      <c r="A5" s="140" t="s">
        <v>16</v>
      </c>
      <c r="B5" s="140" t="s">
        <v>1</v>
      </c>
      <c r="C5" s="143" t="s">
        <v>15</v>
      </c>
      <c r="D5" s="143" t="s">
        <v>46</v>
      </c>
      <c r="E5" s="154" t="s">
        <v>0</v>
      </c>
      <c r="F5" s="152"/>
    </row>
    <row r="6" spans="1:16" ht="12.75">
      <c r="A6" s="141"/>
      <c r="B6" s="141"/>
      <c r="C6" s="144"/>
      <c r="D6" s="144"/>
      <c r="E6" s="154"/>
      <c r="F6" s="152"/>
      <c r="N6" s="82"/>
    </row>
    <row r="7" spans="1:16" ht="12.75">
      <c r="A7" s="141"/>
      <c r="B7" s="141"/>
      <c r="C7" s="144"/>
      <c r="D7" s="144"/>
      <c r="E7" s="154"/>
      <c r="F7" s="152"/>
    </row>
    <row r="8" spans="1:16" ht="12.75">
      <c r="A8" s="142"/>
      <c r="B8" s="142"/>
      <c r="C8" s="144"/>
      <c r="D8" s="144"/>
      <c r="E8" s="154"/>
      <c r="F8" s="152"/>
    </row>
    <row r="9" spans="1:16">
      <c r="A9" s="23">
        <f>'ST-I'!A9</f>
        <v>201</v>
      </c>
      <c r="B9" s="115" t="str">
        <f>'ST-I'!B9</f>
        <v>SCT15CS001</v>
      </c>
      <c r="C9" s="116" t="str">
        <f>'ST-I'!C9</f>
        <v>AASHIK N R</v>
      </c>
      <c r="D9" s="129" t="s">
        <v>171</v>
      </c>
      <c r="E9" s="11">
        <v>50</v>
      </c>
      <c r="F9" s="83"/>
    </row>
    <row r="10" spans="1:16">
      <c r="A10" s="23">
        <f>'ST-I'!A10</f>
        <v>202</v>
      </c>
      <c r="B10" s="115" t="str">
        <f>'ST-I'!B10</f>
        <v>SCT15CS002</v>
      </c>
      <c r="C10" s="116" t="str">
        <f>'ST-I'!C10</f>
        <v>ABHILASH JJ</v>
      </c>
      <c r="D10" s="129" t="s">
        <v>172</v>
      </c>
      <c r="E10" s="11">
        <v>70</v>
      </c>
      <c r="F10" s="83"/>
    </row>
    <row r="11" spans="1:16">
      <c r="A11" s="23">
        <f>'ST-I'!A11</f>
        <v>203</v>
      </c>
      <c r="B11" s="115" t="str">
        <f>'ST-I'!B11</f>
        <v>SCT15CS003</v>
      </c>
      <c r="C11" s="116" t="str">
        <f>'ST-I'!C11</f>
        <v>AISWARYA UDAYAN</v>
      </c>
      <c r="D11" s="129" t="s">
        <v>172</v>
      </c>
      <c r="E11" s="11">
        <v>70</v>
      </c>
      <c r="F11" s="83"/>
    </row>
    <row r="12" spans="1:16">
      <c r="A12" s="23">
        <f>'ST-I'!A12</f>
        <v>204</v>
      </c>
      <c r="B12" s="115" t="str">
        <f>'ST-I'!B12</f>
        <v>SCT15CS004</v>
      </c>
      <c r="C12" s="116" t="str">
        <f>'ST-I'!C12</f>
        <v>AKSHAY A PRAJAPATHY</v>
      </c>
      <c r="D12" s="129" t="s">
        <v>173</v>
      </c>
      <c r="E12" s="11">
        <v>60</v>
      </c>
      <c r="F12" s="83"/>
    </row>
    <row r="13" spans="1:16">
      <c r="A13" s="23">
        <f>'ST-I'!A13</f>
        <v>205</v>
      </c>
      <c r="B13" s="115" t="str">
        <f>'ST-I'!B13</f>
        <v>SCT15CS005</v>
      </c>
      <c r="C13" s="116" t="str">
        <f>'ST-I'!C13</f>
        <v>ALBIN ANTONY</v>
      </c>
      <c r="D13" s="129" t="s">
        <v>171</v>
      </c>
      <c r="E13" s="11">
        <v>50</v>
      </c>
      <c r="F13" s="83"/>
    </row>
    <row r="14" spans="1:16">
      <c r="A14" s="23">
        <f>'ST-I'!A14</f>
        <v>206</v>
      </c>
      <c r="B14" s="115" t="str">
        <f>'ST-I'!B14</f>
        <v>SCT15CS006</v>
      </c>
      <c r="C14" s="116" t="str">
        <f>'ST-I'!C14</f>
        <v>ALEX M JOHN</v>
      </c>
      <c r="D14" s="129" t="s">
        <v>171</v>
      </c>
      <c r="E14" s="11">
        <v>50</v>
      </c>
      <c r="F14" s="83"/>
    </row>
    <row r="15" spans="1:16">
      <c r="A15" s="23">
        <f>'ST-I'!A16</f>
        <v>208</v>
      </c>
      <c r="B15" s="115" t="s">
        <v>186</v>
      </c>
      <c r="C15" s="116" t="str">
        <f>'ST-I'!C16</f>
        <v>AMANYU ROY A P</v>
      </c>
      <c r="D15" s="129" t="s">
        <v>171</v>
      </c>
      <c r="E15" s="11">
        <v>50</v>
      </c>
      <c r="F15" s="83"/>
    </row>
    <row r="16" spans="1:16">
      <c r="A16" s="23">
        <f>'ST-I'!A17</f>
        <v>209</v>
      </c>
      <c r="B16" s="115" t="s">
        <v>187</v>
      </c>
      <c r="C16" s="116" t="str">
        <f>'ST-I'!C17</f>
        <v>ANJANA S M</v>
      </c>
      <c r="D16" s="129" t="s">
        <v>173</v>
      </c>
      <c r="E16" s="11">
        <v>60</v>
      </c>
      <c r="F16" s="83"/>
    </row>
    <row r="17" spans="1:6">
      <c r="A17" s="23">
        <f>'ST-I'!A18</f>
        <v>210</v>
      </c>
      <c r="B17" s="115" t="s">
        <v>188</v>
      </c>
      <c r="C17" s="116" t="str">
        <f>'ST-I'!C18</f>
        <v>APARNA S</v>
      </c>
      <c r="D17" s="129" t="s">
        <v>175</v>
      </c>
      <c r="E17" s="11">
        <v>80</v>
      </c>
      <c r="F17" s="83"/>
    </row>
    <row r="18" spans="1:6">
      <c r="A18" s="23">
        <f>'ST-I'!A19</f>
        <v>211</v>
      </c>
      <c r="B18" s="115" t="s">
        <v>189</v>
      </c>
      <c r="C18" s="116" t="str">
        <f>'ST-I'!C19</f>
        <v>ARAVIND R</v>
      </c>
      <c r="D18" s="129" t="s">
        <v>175</v>
      </c>
      <c r="E18" s="11">
        <v>80</v>
      </c>
      <c r="F18" s="83"/>
    </row>
    <row r="19" spans="1:6">
      <c r="A19" s="23">
        <f>'ST-I'!A20</f>
        <v>212</v>
      </c>
      <c r="B19" s="115" t="s">
        <v>190</v>
      </c>
      <c r="C19" s="116" t="str">
        <f>'ST-I'!C20</f>
        <v>ARJUN MURALEEDHARAN</v>
      </c>
      <c r="D19" s="129" t="s">
        <v>173</v>
      </c>
      <c r="E19" s="11">
        <v>60</v>
      </c>
      <c r="F19" s="83"/>
    </row>
    <row r="20" spans="1:6">
      <c r="A20" s="23">
        <f>'ST-I'!A21</f>
        <v>213</v>
      </c>
      <c r="B20" s="115" t="s">
        <v>191</v>
      </c>
      <c r="C20" s="116" t="str">
        <f>'ST-I'!C21</f>
        <v>ARJUN C RAMESH</v>
      </c>
      <c r="D20" s="129" t="s">
        <v>176</v>
      </c>
      <c r="E20" s="11">
        <v>0</v>
      </c>
      <c r="F20" s="83"/>
    </row>
    <row r="21" spans="1:6">
      <c r="A21" s="23">
        <f>'ST-I'!A22</f>
        <v>214</v>
      </c>
      <c r="B21" s="115" t="s">
        <v>192</v>
      </c>
      <c r="C21" s="116" t="str">
        <f>'ST-I'!C22</f>
        <v>ARUNDHATI KURUP</v>
      </c>
      <c r="D21" s="129" t="s">
        <v>172</v>
      </c>
      <c r="E21" s="11">
        <v>70</v>
      </c>
      <c r="F21" s="83"/>
    </row>
    <row r="22" spans="1:6">
      <c r="A22" s="23">
        <f>'ST-I'!A23</f>
        <v>215</v>
      </c>
      <c r="B22" s="115" t="s">
        <v>193</v>
      </c>
      <c r="C22" s="116" t="str">
        <f>'ST-I'!C23</f>
        <v>ATHIRA S PILLAI</v>
      </c>
      <c r="D22" s="129" t="s">
        <v>172</v>
      </c>
      <c r="E22" s="11">
        <v>70</v>
      </c>
      <c r="F22" s="83"/>
    </row>
    <row r="23" spans="1:6">
      <c r="A23" s="23">
        <f>'ST-I'!A24</f>
        <v>216</v>
      </c>
      <c r="B23" s="115" t="s">
        <v>194</v>
      </c>
      <c r="C23" s="116" t="str">
        <f>'ST-I'!C24</f>
        <v>ATHUL RAJ</v>
      </c>
      <c r="D23" s="129" t="s">
        <v>172</v>
      </c>
      <c r="E23" s="11">
        <v>70</v>
      </c>
      <c r="F23" s="83"/>
    </row>
    <row r="24" spans="1:6">
      <c r="A24" s="23">
        <f>'ST-I'!A25</f>
        <v>217</v>
      </c>
      <c r="B24" s="115" t="s">
        <v>195</v>
      </c>
      <c r="C24" s="116" t="str">
        <f>'ST-I'!C25</f>
        <v>ATHULYA AL</v>
      </c>
      <c r="D24" s="129" t="s">
        <v>176</v>
      </c>
      <c r="E24" s="11">
        <v>0</v>
      </c>
      <c r="F24" s="83"/>
    </row>
    <row r="25" spans="1:6">
      <c r="A25" s="23">
        <f>'ST-I'!A26</f>
        <v>218</v>
      </c>
      <c r="B25" s="115" t="s">
        <v>196</v>
      </c>
      <c r="C25" s="116" t="str">
        <f>'ST-I'!C26</f>
        <v>CYRIL SUNNY</v>
      </c>
      <c r="D25" s="129" t="s">
        <v>171</v>
      </c>
      <c r="E25" s="11">
        <v>50</v>
      </c>
      <c r="F25" s="83"/>
    </row>
    <row r="26" spans="1:6">
      <c r="A26" s="23">
        <f>'ST-I'!A27</f>
        <v>219</v>
      </c>
      <c r="B26" s="115" t="s">
        <v>197</v>
      </c>
      <c r="C26" s="116" t="str">
        <f>'ST-I'!C27</f>
        <v>DEEPAK R B</v>
      </c>
      <c r="D26" s="129" t="s">
        <v>171</v>
      </c>
      <c r="E26" s="11">
        <v>50</v>
      </c>
      <c r="F26" s="83"/>
    </row>
    <row r="27" spans="1:6">
      <c r="A27" s="23">
        <f>'ST-I'!A28</f>
        <v>220</v>
      </c>
      <c r="B27" s="115" t="s">
        <v>198</v>
      </c>
      <c r="C27" s="116" t="str">
        <f>'ST-I'!C28</f>
        <v>DEEPAK S S</v>
      </c>
      <c r="D27" s="129" t="s">
        <v>173</v>
      </c>
      <c r="E27" s="11">
        <v>60</v>
      </c>
      <c r="F27" s="83"/>
    </row>
    <row r="28" spans="1:6">
      <c r="A28" s="23">
        <f>'ST-I'!A29</f>
        <v>221</v>
      </c>
      <c r="B28" s="115" t="s">
        <v>199</v>
      </c>
      <c r="C28" s="116" t="str">
        <f>'ST-I'!C29</f>
        <v>DISHA D MAJITHIA</v>
      </c>
      <c r="D28" s="129" t="s">
        <v>171</v>
      </c>
      <c r="E28" s="11">
        <v>50</v>
      </c>
      <c r="F28" s="83"/>
    </row>
    <row r="29" spans="1:6">
      <c r="A29" s="23">
        <f>'ST-I'!A30</f>
        <v>222</v>
      </c>
      <c r="B29" s="115" t="s">
        <v>200</v>
      </c>
      <c r="C29" s="116" t="str">
        <f>'ST-I'!C30</f>
        <v>EBIN J</v>
      </c>
      <c r="D29" s="129" t="s">
        <v>171</v>
      </c>
      <c r="E29" s="11">
        <v>50</v>
      </c>
      <c r="F29" s="83"/>
    </row>
    <row r="30" spans="1:6">
      <c r="A30" s="23">
        <f>'ST-I'!A31</f>
        <v>223</v>
      </c>
      <c r="B30" s="115" t="s">
        <v>201</v>
      </c>
      <c r="C30" s="116" t="str">
        <f>'ST-I'!C31</f>
        <v>FAISAL MOHAMMED A</v>
      </c>
      <c r="D30" s="129" t="s">
        <v>173</v>
      </c>
      <c r="E30" s="11">
        <v>60</v>
      </c>
      <c r="F30" s="83"/>
    </row>
    <row r="31" spans="1:6">
      <c r="A31" s="23">
        <f>'ST-I'!A32</f>
        <v>224</v>
      </c>
      <c r="B31" s="115" t="s">
        <v>202</v>
      </c>
      <c r="C31" s="116" t="str">
        <f>'ST-I'!C32</f>
        <v>GAYATHRI S</v>
      </c>
      <c r="D31" s="129" t="s">
        <v>171</v>
      </c>
      <c r="E31" s="11">
        <v>50</v>
      </c>
      <c r="F31" s="83"/>
    </row>
    <row r="32" spans="1:6">
      <c r="A32" s="23">
        <f>'ST-I'!A33</f>
        <v>225</v>
      </c>
      <c r="B32" s="115" t="s">
        <v>203</v>
      </c>
      <c r="C32" s="116" t="str">
        <f>'ST-I'!C33</f>
        <v>GOPIKA M</v>
      </c>
      <c r="D32" s="129" t="s">
        <v>172</v>
      </c>
      <c r="E32" s="11">
        <v>70</v>
      </c>
      <c r="F32" s="83"/>
    </row>
    <row r="33" spans="1:6">
      <c r="A33" s="23">
        <f>'ST-I'!A34</f>
        <v>226</v>
      </c>
      <c r="B33" s="115" t="s">
        <v>204</v>
      </c>
      <c r="C33" s="116" t="str">
        <f>'ST-I'!C34</f>
        <v>GOURY JYOTHISH</v>
      </c>
      <c r="D33" s="129" t="s">
        <v>172</v>
      </c>
      <c r="E33" s="11">
        <v>70</v>
      </c>
      <c r="F33" s="83"/>
    </row>
    <row r="34" spans="1:6">
      <c r="A34" s="23">
        <f>'ST-I'!A35</f>
        <v>227</v>
      </c>
      <c r="B34" s="115" t="s">
        <v>205</v>
      </c>
      <c r="C34" s="116" t="str">
        <f>'ST-I'!C35</f>
        <v>GOVIND G S</v>
      </c>
      <c r="D34" s="129" t="s">
        <v>171</v>
      </c>
      <c r="E34" s="11">
        <v>50</v>
      </c>
      <c r="F34" s="83"/>
    </row>
    <row r="35" spans="1:6">
      <c r="A35" s="23">
        <f>'ST-I'!A36</f>
        <v>228</v>
      </c>
      <c r="B35" s="115" t="s">
        <v>206</v>
      </c>
      <c r="C35" s="116" t="str">
        <f>'ST-I'!C36</f>
        <v>GOVIND P</v>
      </c>
      <c r="D35" s="129" t="s">
        <v>171</v>
      </c>
      <c r="E35" s="11">
        <v>50</v>
      </c>
      <c r="F35" s="83"/>
    </row>
    <row r="36" spans="1:6">
      <c r="A36" s="23">
        <f>'ST-I'!A37</f>
        <v>229</v>
      </c>
      <c r="B36" s="115" t="s">
        <v>207</v>
      </c>
      <c r="C36" s="116" t="str">
        <f>'ST-I'!C37</f>
        <v>HIMA BINDU BHARDWAJ</v>
      </c>
      <c r="D36" s="129" t="s">
        <v>177</v>
      </c>
      <c r="E36" s="11">
        <v>85</v>
      </c>
      <c r="F36" s="83"/>
    </row>
    <row r="37" spans="1:6">
      <c r="A37" s="23">
        <f>'ST-I'!A38</f>
        <v>230</v>
      </c>
      <c r="B37" s="115" t="s">
        <v>208</v>
      </c>
      <c r="C37" s="116" t="str">
        <f>'ST-I'!C38</f>
        <v>J S MALINI</v>
      </c>
      <c r="D37" s="129" t="s">
        <v>172</v>
      </c>
      <c r="E37" s="11">
        <v>70</v>
      </c>
      <c r="F37" s="83"/>
    </row>
    <row r="38" spans="1:6">
      <c r="A38" s="23">
        <f>'ST-I'!A39</f>
        <v>231</v>
      </c>
      <c r="B38" s="115" t="s">
        <v>209</v>
      </c>
      <c r="C38" s="116" t="str">
        <f>'ST-I'!C39</f>
        <v>JEBBY JOSEPH</v>
      </c>
      <c r="D38" s="129" t="s">
        <v>178</v>
      </c>
      <c r="E38" s="11">
        <v>45</v>
      </c>
      <c r="F38" s="83"/>
    </row>
    <row r="39" spans="1:6">
      <c r="A39" s="23">
        <f>'ST-I'!A40</f>
        <v>232</v>
      </c>
      <c r="B39" s="115" t="s">
        <v>210</v>
      </c>
      <c r="C39" s="116" t="str">
        <f>'ST-I'!C40</f>
        <v>JISO K JOY</v>
      </c>
      <c r="D39" s="129" t="s">
        <v>172</v>
      </c>
      <c r="E39" s="11">
        <v>70</v>
      </c>
      <c r="F39" s="83"/>
    </row>
    <row r="40" spans="1:6">
      <c r="A40" s="23">
        <f>'ST-I'!A41</f>
        <v>233</v>
      </c>
      <c r="B40" s="115" t="s">
        <v>211</v>
      </c>
      <c r="C40" s="116" t="str">
        <f>'ST-I'!C41</f>
        <v>KANNAN K D P</v>
      </c>
      <c r="D40" s="129" t="s">
        <v>177</v>
      </c>
      <c r="E40" s="11">
        <v>85</v>
      </c>
      <c r="F40" s="83"/>
    </row>
    <row r="41" spans="1:6">
      <c r="A41" s="23">
        <f>'ST-I'!A42</f>
        <v>234</v>
      </c>
      <c r="B41" s="115" t="s">
        <v>212</v>
      </c>
      <c r="C41" s="116" t="str">
        <f>'ST-I'!C42</f>
        <v>KARTHIKA KRISHNA</v>
      </c>
      <c r="D41" s="129" t="s">
        <v>173</v>
      </c>
      <c r="E41" s="11">
        <v>60</v>
      </c>
      <c r="F41" s="83"/>
    </row>
    <row r="42" spans="1:6">
      <c r="A42" s="23">
        <f>'ST-I'!A43</f>
        <v>235</v>
      </c>
      <c r="B42" s="115" t="s">
        <v>213</v>
      </c>
      <c r="C42" s="116" t="str">
        <f>'ST-I'!C43</f>
        <v>KARTHIKA PRADEEP</v>
      </c>
      <c r="D42" s="129" t="s">
        <v>173</v>
      </c>
      <c r="E42" s="11">
        <v>60</v>
      </c>
      <c r="F42" s="83"/>
    </row>
    <row r="43" spans="1:6">
      <c r="A43" s="23">
        <f>'ST-I'!A44</f>
        <v>236</v>
      </c>
      <c r="B43" s="115" t="s">
        <v>214</v>
      </c>
      <c r="C43" s="116" t="str">
        <f>'ST-I'!C44</f>
        <v>KAVYA SHAJU</v>
      </c>
      <c r="D43" s="129" t="s">
        <v>173</v>
      </c>
      <c r="E43" s="11">
        <v>60</v>
      </c>
      <c r="F43" s="83"/>
    </row>
    <row r="44" spans="1:6">
      <c r="A44" s="23">
        <f>'ST-I'!A45</f>
        <v>237</v>
      </c>
      <c r="B44" s="115" t="s">
        <v>215</v>
      </c>
      <c r="C44" s="116" t="str">
        <f>'ST-I'!C45</f>
        <v>KRISHNA RAJ R</v>
      </c>
      <c r="D44" s="129" t="s">
        <v>171</v>
      </c>
      <c r="E44" s="11">
        <v>50</v>
      </c>
      <c r="F44" s="83"/>
    </row>
    <row r="45" spans="1:6">
      <c r="A45" s="23">
        <f>'ST-I'!A46</f>
        <v>238</v>
      </c>
      <c r="B45" s="115" t="s">
        <v>216</v>
      </c>
      <c r="C45" s="116" t="str">
        <f>'ST-I'!C46</f>
        <v>MAANASY P V</v>
      </c>
      <c r="D45" s="129" t="s">
        <v>173</v>
      </c>
      <c r="E45" s="11">
        <v>60</v>
      </c>
      <c r="F45" s="83"/>
    </row>
    <row r="46" spans="1:6">
      <c r="A46" s="23">
        <f>'ST-I'!A47</f>
        <v>239</v>
      </c>
      <c r="B46" s="115" t="s">
        <v>217</v>
      </c>
      <c r="C46" s="116" t="str">
        <f>'ST-I'!C47</f>
        <v>MIDHUNA VIJAYAKUMAR</v>
      </c>
      <c r="D46" s="129" t="s">
        <v>171</v>
      </c>
      <c r="E46" s="11">
        <v>50</v>
      </c>
      <c r="F46" s="83"/>
    </row>
    <row r="47" spans="1:6">
      <c r="A47" s="23">
        <f>'ST-I'!A48</f>
        <v>240</v>
      </c>
      <c r="B47" s="115" t="s">
        <v>218</v>
      </c>
      <c r="C47" s="116" t="str">
        <f>'ST-I'!C48</f>
        <v>MUHAMMAD T S</v>
      </c>
      <c r="D47" s="129" t="s">
        <v>177</v>
      </c>
      <c r="E47" s="11">
        <v>85</v>
      </c>
      <c r="F47" s="83"/>
    </row>
    <row r="48" spans="1:6">
      <c r="A48" s="23">
        <f>'ST-I'!A49</f>
        <v>241</v>
      </c>
      <c r="B48" s="115" t="s">
        <v>219</v>
      </c>
      <c r="C48" s="116" t="str">
        <f>'ST-I'!C49</f>
        <v>NEVIN BAIJU</v>
      </c>
      <c r="D48" s="129" t="s">
        <v>172</v>
      </c>
      <c r="E48" s="11">
        <v>70</v>
      </c>
      <c r="F48" s="83"/>
    </row>
    <row r="49" spans="1:6">
      <c r="A49" s="23">
        <f>'ST-I'!A50</f>
        <v>242</v>
      </c>
      <c r="B49" s="115" t="s">
        <v>220</v>
      </c>
      <c r="C49" s="116" t="str">
        <f>'ST-I'!C50</f>
        <v>NIRANJANA MADHAVAN THAMPI</v>
      </c>
      <c r="D49" s="129" t="s">
        <v>171</v>
      </c>
      <c r="E49" s="11">
        <v>50</v>
      </c>
      <c r="F49" s="83"/>
    </row>
    <row r="50" spans="1:6">
      <c r="A50" s="23">
        <f>'ST-I'!A51</f>
        <v>243</v>
      </c>
      <c r="B50" s="115" t="s">
        <v>221</v>
      </c>
      <c r="C50" s="116" t="str">
        <f>'ST-I'!C51</f>
        <v>PRASEETHA KRISHNA J</v>
      </c>
      <c r="D50" s="129" t="s">
        <v>173</v>
      </c>
      <c r="E50" s="11">
        <v>60</v>
      </c>
      <c r="F50" s="83"/>
    </row>
    <row r="51" spans="1:6">
      <c r="A51" s="23">
        <f>'ST-I'!A52</f>
        <v>244</v>
      </c>
      <c r="B51" s="115" t="s">
        <v>222</v>
      </c>
      <c r="C51" s="116" t="str">
        <f>'ST-I'!C52</f>
        <v>PRIYANKA GOVIND C V</v>
      </c>
      <c r="D51" s="129" t="s">
        <v>172</v>
      </c>
      <c r="E51" s="11">
        <v>70</v>
      </c>
      <c r="F51" s="83"/>
    </row>
    <row r="52" spans="1:6">
      <c r="A52" s="23">
        <f>'ST-I'!A53</f>
        <v>245</v>
      </c>
      <c r="B52" s="115" t="s">
        <v>223</v>
      </c>
      <c r="C52" s="116" t="str">
        <f>'ST-I'!C53</f>
        <v>R SREELAKSHMI</v>
      </c>
      <c r="D52" s="129" t="s">
        <v>177</v>
      </c>
      <c r="E52" s="11">
        <v>85</v>
      </c>
      <c r="F52" s="83"/>
    </row>
    <row r="53" spans="1:6">
      <c r="A53" s="23">
        <f>'ST-I'!A56</f>
        <v>248</v>
      </c>
      <c r="B53" s="98" t="s">
        <v>226</v>
      </c>
      <c r="C53" s="116" t="str">
        <f>'ST-I'!C56</f>
        <v>RAKESH P</v>
      </c>
      <c r="D53" s="129" t="s">
        <v>171</v>
      </c>
      <c r="E53" s="84">
        <v>50</v>
      </c>
      <c r="F53" s="83"/>
    </row>
    <row r="54" spans="1:6">
      <c r="A54" s="23">
        <f>'ST-I'!A57</f>
        <v>249</v>
      </c>
      <c r="B54" s="98" t="s">
        <v>227</v>
      </c>
      <c r="C54" s="116" t="str">
        <f>'ST-I'!C57</f>
        <v>S SACHIN</v>
      </c>
      <c r="D54" s="129" t="s">
        <v>172</v>
      </c>
      <c r="E54" s="11">
        <v>70</v>
      </c>
      <c r="F54" s="83"/>
    </row>
    <row r="55" spans="1:6">
      <c r="A55" s="23">
        <f>'ST-I'!A58</f>
        <v>250</v>
      </c>
      <c r="B55" s="98" t="s">
        <v>228</v>
      </c>
      <c r="C55" s="116" t="str">
        <f>'ST-I'!C58</f>
        <v>S VIJAY VENKATESH</v>
      </c>
      <c r="D55" s="129" t="s">
        <v>172</v>
      </c>
      <c r="E55" s="11">
        <v>70</v>
      </c>
      <c r="F55" s="83"/>
    </row>
    <row r="56" spans="1:6">
      <c r="A56" s="23">
        <f>'ST-I'!A59</f>
        <v>251</v>
      </c>
      <c r="B56" s="98" t="s">
        <v>229</v>
      </c>
      <c r="C56" s="116" t="str">
        <f>'ST-I'!C59</f>
        <v>SAGAR ASHOK</v>
      </c>
      <c r="D56" s="129" t="s">
        <v>174</v>
      </c>
      <c r="E56" s="11">
        <v>0</v>
      </c>
      <c r="F56" s="83"/>
    </row>
    <row r="57" spans="1:6">
      <c r="A57" s="23">
        <f>'ST-I'!A60</f>
        <v>252</v>
      </c>
      <c r="B57" s="98" t="s">
        <v>230</v>
      </c>
      <c r="C57" s="116" t="str">
        <f>'ST-I'!C60</f>
        <v>SHEHAZ SHEFY</v>
      </c>
      <c r="D57" s="129" t="s">
        <v>171</v>
      </c>
      <c r="E57" s="11">
        <v>50</v>
      </c>
      <c r="F57" s="83"/>
    </row>
    <row r="58" spans="1:6">
      <c r="A58" s="23">
        <f>'ST-I'!A61</f>
        <v>253</v>
      </c>
      <c r="B58" s="98" t="s">
        <v>231</v>
      </c>
      <c r="C58" s="116" t="str">
        <f>'ST-I'!C61</f>
        <v>SHIBIN B SHAJI</v>
      </c>
      <c r="D58" s="129" t="s">
        <v>178</v>
      </c>
      <c r="E58" s="11">
        <v>45</v>
      </c>
      <c r="F58" s="83"/>
    </row>
    <row r="59" spans="1:6">
      <c r="A59" s="23">
        <f>'ST-I'!A62</f>
        <v>254</v>
      </c>
      <c r="B59" s="98" t="s">
        <v>232</v>
      </c>
      <c r="C59" s="116" t="str">
        <f>'ST-I'!C62</f>
        <v>SHRADHA MARIAM SANTHOSH</v>
      </c>
      <c r="D59" s="129" t="s">
        <v>172</v>
      </c>
      <c r="E59" s="11">
        <v>70</v>
      </c>
      <c r="F59" s="83"/>
    </row>
    <row r="60" spans="1:6">
      <c r="A60" s="23">
        <f>'ST-I'!A63</f>
        <v>255</v>
      </c>
      <c r="B60" s="98" t="s">
        <v>233</v>
      </c>
      <c r="C60" s="116" t="str">
        <f>'ST-I'!C63</f>
        <v>SIBI KOSHY</v>
      </c>
      <c r="D60" s="129" t="s">
        <v>172</v>
      </c>
      <c r="E60" s="11">
        <v>70</v>
      </c>
      <c r="F60" s="83"/>
    </row>
    <row r="61" spans="1:6">
      <c r="A61" s="23">
        <f>'ST-I'!A64</f>
        <v>256</v>
      </c>
      <c r="B61" s="98" t="s">
        <v>234</v>
      </c>
      <c r="C61" s="116" t="str">
        <f>'ST-I'!C64</f>
        <v>SIVAKRISHNAN S K</v>
      </c>
      <c r="D61" s="129" t="s">
        <v>171</v>
      </c>
      <c r="E61" s="11">
        <v>50</v>
      </c>
      <c r="F61" s="83"/>
    </row>
    <row r="62" spans="1:6">
      <c r="A62" s="23">
        <f>'ST-I'!A65</f>
        <v>257</v>
      </c>
      <c r="B62" s="98" t="s">
        <v>235</v>
      </c>
      <c r="C62" s="116" t="str">
        <f>'ST-I'!C65</f>
        <v>SREEDEV S B</v>
      </c>
      <c r="D62" s="129" t="s">
        <v>176</v>
      </c>
      <c r="E62" s="11">
        <v>0</v>
      </c>
      <c r="F62" s="83"/>
    </row>
    <row r="63" spans="1:6">
      <c r="A63" s="23">
        <f>'ST-I'!A67</f>
        <v>259</v>
      </c>
      <c r="B63" s="98" t="s">
        <v>237</v>
      </c>
      <c r="C63" s="116" t="str">
        <f>'ST-I'!C67</f>
        <v>TASNEEM ABDULKADER SHAJILABEEVI</v>
      </c>
      <c r="D63" s="129" t="s">
        <v>171</v>
      </c>
      <c r="E63" s="11">
        <v>50</v>
      </c>
      <c r="F63" s="83"/>
    </row>
    <row r="64" spans="1:6">
      <c r="A64" s="23">
        <f>'ST-I'!A68</f>
        <v>260</v>
      </c>
      <c r="B64" s="98" t="s">
        <v>238</v>
      </c>
      <c r="C64" s="116" t="str">
        <f>'ST-I'!C68</f>
        <v>VENI S</v>
      </c>
      <c r="D64" s="129" t="s">
        <v>172</v>
      </c>
      <c r="E64" s="11">
        <v>70</v>
      </c>
      <c r="F64" s="83"/>
    </row>
    <row r="65" spans="1:6">
      <c r="A65" s="23">
        <f>'ST-I'!A69</f>
        <v>261</v>
      </c>
      <c r="B65" s="98" t="s">
        <v>239</v>
      </c>
      <c r="C65" s="116" t="str">
        <f>'ST-I'!C69</f>
        <v>VISAKH V NAIR</v>
      </c>
      <c r="D65" s="129" t="s">
        <v>176</v>
      </c>
      <c r="E65" s="11">
        <v>0</v>
      </c>
      <c r="F65" s="83"/>
    </row>
    <row r="66" spans="1:6">
      <c r="A66" s="23">
        <f>'ST-I'!A70</f>
        <v>262</v>
      </c>
      <c r="B66" s="98" t="s">
        <v>240</v>
      </c>
      <c r="C66" s="116" t="str">
        <f>'ST-I'!C70</f>
        <v>VISHNU A K</v>
      </c>
      <c r="D66" s="129" t="s">
        <v>173</v>
      </c>
      <c r="E66" s="11">
        <v>60</v>
      </c>
      <c r="F66" s="83"/>
    </row>
    <row r="67" spans="1:6">
      <c r="A67" s="23">
        <f>'ST-I'!A71</f>
        <v>263</v>
      </c>
      <c r="B67" s="98" t="s">
        <v>241</v>
      </c>
      <c r="C67" s="116" t="str">
        <f>'ST-I'!C71</f>
        <v>VYSHNAVI S</v>
      </c>
      <c r="D67" s="129" t="s">
        <v>173</v>
      </c>
      <c r="E67" s="11">
        <v>60</v>
      </c>
      <c r="F67" s="83"/>
    </row>
    <row r="68" spans="1:6">
      <c r="A68" s="23">
        <f>'ST-I'!A71</f>
        <v>263</v>
      </c>
      <c r="B68" s="98" t="s">
        <v>242</v>
      </c>
      <c r="C68" s="116" t="str">
        <f>'ST-I'!C71</f>
        <v>VYSHNAVI S</v>
      </c>
      <c r="D68" s="129" t="s">
        <v>176</v>
      </c>
      <c r="E68" s="11">
        <v>0</v>
      </c>
      <c r="F68" s="83"/>
    </row>
    <row r="69" spans="1:6">
      <c r="A69" s="23">
        <f>'ST-I'!A72</f>
        <v>264</v>
      </c>
      <c r="B69" s="98" t="s">
        <v>244</v>
      </c>
      <c r="C69" s="116" t="s">
        <v>166</v>
      </c>
      <c r="D69" s="129" t="s">
        <v>178</v>
      </c>
      <c r="E69" s="11">
        <v>45</v>
      </c>
      <c r="F69" s="83"/>
    </row>
    <row r="70" spans="1:6">
      <c r="E70" s="11"/>
      <c r="F70" s="83"/>
    </row>
    <row r="71" spans="1:6">
      <c r="E71" s="11"/>
      <c r="F71" s="83"/>
    </row>
    <row r="72" spans="1:6">
      <c r="E72" s="11"/>
      <c r="F72" s="83"/>
    </row>
    <row r="73" spans="1:6">
      <c r="A73" s="23"/>
      <c r="B73" s="98"/>
      <c r="C73" s="116"/>
      <c r="D73" s="129"/>
      <c r="E73" s="11"/>
      <c r="F73" s="83"/>
    </row>
    <row r="74" spans="1:6">
      <c r="A74" s="23"/>
      <c r="B74" s="98"/>
      <c r="C74" s="116"/>
      <c r="D74" s="129"/>
      <c r="E74" s="11"/>
      <c r="F74" s="83"/>
    </row>
    <row r="75" spans="1:6">
      <c r="A75" s="56"/>
      <c r="B75" s="56"/>
      <c r="C75" s="99"/>
      <c r="D75" s="10"/>
      <c r="E75" s="11"/>
      <c r="F75" s="83"/>
    </row>
    <row r="76" spans="1:6">
      <c r="A76" s="56"/>
      <c r="B76" s="56"/>
      <c r="C76" s="42"/>
      <c r="D76" s="11"/>
      <c r="E76" s="11"/>
      <c r="F76" s="83"/>
    </row>
    <row r="77" spans="1:6">
      <c r="A77" s="43"/>
      <c r="B77" s="43"/>
      <c r="C77" s="42"/>
      <c r="D77" s="11"/>
      <c r="E77" s="11"/>
      <c r="F77" s="83"/>
    </row>
    <row r="78" spans="1:6">
      <c r="A78" s="58"/>
      <c r="B78" s="58"/>
      <c r="C78" s="42"/>
      <c r="D78" s="11"/>
      <c r="E78" s="11"/>
      <c r="F78" s="83"/>
    </row>
    <row r="79" spans="1:6">
      <c r="A79" s="58"/>
      <c r="B79" s="58"/>
      <c r="C79" s="42"/>
      <c r="D79" s="11"/>
      <c r="E79" s="11"/>
      <c r="F79" s="83"/>
    </row>
    <row r="80" spans="1:6">
      <c r="A80" s="58"/>
      <c r="B80" s="58"/>
      <c r="C80" s="42"/>
      <c r="D80" s="11"/>
      <c r="E80" s="11"/>
      <c r="F80" s="83"/>
    </row>
    <row r="81" spans="1:6">
      <c r="A81" s="58"/>
      <c r="B81" s="58"/>
      <c r="C81" s="42"/>
      <c r="D81" s="11"/>
      <c r="E81" s="11"/>
      <c r="F81" s="83"/>
    </row>
    <row r="82" spans="1:6">
      <c r="A82" s="155" t="s">
        <v>48</v>
      </c>
      <c r="B82" s="155"/>
      <c r="C82" s="155"/>
      <c r="D82" s="155"/>
      <c r="E82" s="87">
        <v>3</v>
      </c>
    </row>
    <row r="83" spans="1:6">
      <c r="E83" s="84">
        <v>52</v>
      </c>
    </row>
  </sheetData>
  <mergeCells count="13">
    <mergeCell ref="A82:D82"/>
    <mergeCell ref="A3:B3"/>
    <mergeCell ref="A5:A8"/>
    <mergeCell ref="B5:B8"/>
    <mergeCell ref="C5:C8"/>
    <mergeCell ref="C3:H3"/>
    <mergeCell ref="A1:B1"/>
    <mergeCell ref="F5:F8"/>
    <mergeCell ref="J2:K2"/>
    <mergeCell ref="D5:D8"/>
    <mergeCell ref="A4:L4"/>
    <mergeCell ref="E5:E8"/>
    <mergeCell ref="F2:G2"/>
  </mergeCells>
  <dataValidations count="1">
    <dataValidation type="list" allowBlank="1" showInputMessage="1" showErrorMessage="1" sqref="L2">
      <formula1>$P$3:$P$4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:AC86"/>
  <sheetViews>
    <sheetView zoomScale="98" zoomScaleNormal="98" workbookViewId="0">
      <selection activeCell="J4" sqref="J4"/>
    </sheetView>
  </sheetViews>
  <sheetFormatPr defaultRowHeight="15"/>
  <cols>
    <col min="1" max="1" width="5.85546875" style="3" bestFit="1" customWidth="1"/>
    <col min="2" max="2" width="10.7109375" style="3" customWidth="1"/>
    <col min="3" max="3" width="33.42578125" style="4" customWidth="1"/>
    <col min="4" max="4" width="11.140625" style="3" customWidth="1"/>
    <col min="5" max="23" width="7.42578125" style="1" customWidth="1"/>
  </cols>
  <sheetData>
    <row r="1" spans="1:29" ht="15.75">
      <c r="A1" s="133" t="s">
        <v>38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29">
      <c r="A2" s="16" t="s">
        <v>21</v>
      </c>
      <c r="B2" s="33"/>
      <c r="C2" s="48">
        <f>'ST-I'!C2</f>
        <v>6</v>
      </c>
      <c r="D2" s="130" t="s">
        <v>39</v>
      </c>
      <c r="E2" s="130"/>
      <c r="F2" s="60">
        <v>65</v>
      </c>
      <c r="K2" s="47"/>
      <c r="L2" s="47"/>
      <c r="M2" s="47"/>
      <c r="N2" s="47"/>
      <c r="O2" s="16" t="s">
        <v>22</v>
      </c>
      <c r="P2" s="16"/>
      <c r="Q2" s="46" t="str">
        <f>'ST-I'!T2</f>
        <v>CSE</v>
      </c>
      <c r="R2" s="46"/>
      <c r="S2" s="47"/>
      <c r="T2" s="47"/>
      <c r="U2" s="47"/>
      <c r="V2" s="47"/>
      <c r="W2" s="47"/>
    </row>
    <row r="3" spans="1:29">
      <c r="A3" s="135" t="s">
        <v>24</v>
      </c>
      <c r="B3" s="135"/>
      <c r="C3" s="134" t="str">
        <f>'ST-I'!C3:H3</f>
        <v>CS304 COMPILER DESIGN</v>
      </c>
      <c r="D3" s="134"/>
      <c r="O3" s="16" t="s">
        <v>23</v>
      </c>
      <c r="P3" s="16"/>
      <c r="Q3" s="158"/>
      <c r="R3" s="158"/>
      <c r="S3" s="158"/>
      <c r="T3" s="158"/>
      <c r="U3" s="158"/>
      <c r="V3" s="158"/>
      <c r="W3" s="158"/>
      <c r="X3" s="158"/>
      <c r="Y3" s="158"/>
      <c r="Z3" s="53"/>
      <c r="AA3" s="53"/>
      <c r="AB3" s="53"/>
      <c r="AC3" s="53"/>
    </row>
    <row r="4" spans="1:29" ht="26.25">
      <c r="A4" s="135" t="s">
        <v>69</v>
      </c>
      <c r="B4" s="135"/>
      <c r="C4" s="96">
        <v>50</v>
      </c>
      <c r="D4" s="28"/>
    </row>
    <row r="5" spans="1:29">
      <c r="A5" s="140" t="s">
        <v>16</v>
      </c>
      <c r="B5" s="140" t="s">
        <v>1</v>
      </c>
      <c r="C5" s="143" t="s">
        <v>15</v>
      </c>
      <c r="D5" s="18" t="s">
        <v>11</v>
      </c>
      <c r="E5" s="159" t="s">
        <v>20</v>
      </c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9"/>
      <c r="U5" s="159"/>
      <c r="V5" s="159"/>
      <c r="W5" s="159"/>
      <c r="X5" s="159"/>
    </row>
    <row r="6" spans="1:29">
      <c r="A6" s="141"/>
      <c r="B6" s="141"/>
      <c r="C6" s="144"/>
      <c r="D6" s="18" t="s">
        <v>13</v>
      </c>
      <c r="E6" s="65" t="s">
        <v>2</v>
      </c>
      <c r="F6" s="67" t="s">
        <v>40</v>
      </c>
      <c r="G6" s="65" t="s">
        <v>3</v>
      </c>
      <c r="H6" s="67" t="s">
        <v>40</v>
      </c>
      <c r="I6" s="65" t="s">
        <v>4</v>
      </c>
      <c r="J6" s="67" t="s">
        <v>40</v>
      </c>
      <c r="K6" s="65" t="s">
        <v>5</v>
      </c>
      <c r="L6" s="67" t="s">
        <v>40</v>
      </c>
      <c r="M6" s="65" t="s">
        <v>19</v>
      </c>
      <c r="N6" s="18" t="s">
        <v>40</v>
      </c>
      <c r="O6" s="65" t="s">
        <v>25</v>
      </c>
      <c r="P6" s="18" t="s">
        <v>40</v>
      </c>
      <c r="Q6" s="65" t="s">
        <v>26</v>
      </c>
      <c r="R6" s="18" t="s">
        <v>40</v>
      </c>
      <c r="S6" s="65" t="s">
        <v>27</v>
      </c>
      <c r="T6" s="18" t="s">
        <v>40</v>
      </c>
      <c r="U6" s="65" t="s">
        <v>28</v>
      </c>
      <c r="V6" s="18" t="s">
        <v>40</v>
      </c>
      <c r="W6" s="65" t="s">
        <v>29</v>
      </c>
      <c r="X6" s="18" t="s">
        <v>40</v>
      </c>
    </row>
    <row r="7" spans="1:29">
      <c r="A7" s="141"/>
      <c r="B7" s="141"/>
      <c r="C7" s="144"/>
      <c r="D7" s="146" t="s">
        <v>12</v>
      </c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  <c r="P7" s="159"/>
      <c r="Q7" s="159"/>
      <c r="R7" s="159"/>
      <c r="S7" s="159"/>
      <c r="T7" s="159"/>
      <c r="U7" s="159"/>
      <c r="V7" s="159"/>
      <c r="W7" s="159"/>
      <c r="X7" s="159"/>
    </row>
    <row r="8" spans="1:29">
      <c r="A8" s="142"/>
      <c r="B8" s="142"/>
      <c r="C8" s="145"/>
      <c r="D8" s="147"/>
      <c r="E8" s="63">
        <v>8</v>
      </c>
      <c r="F8" s="54"/>
      <c r="G8" s="63">
        <v>20</v>
      </c>
      <c r="H8" s="54"/>
      <c r="I8" s="63">
        <v>53</v>
      </c>
      <c r="J8" s="61"/>
      <c r="K8" s="63">
        <v>10</v>
      </c>
      <c r="L8" s="61"/>
      <c r="M8" s="63">
        <v>39</v>
      </c>
      <c r="N8" s="61"/>
      <c r="O8" s="63">
        <v>10</v>
      </c>
      <c r="P8" s="61"/>
      <c r="Q8" s="63">
        <v>0</v>
      </c>
      <c r="R8" s="61"/>
      <c r="S8" s="63">
        <v>0</v>
      </c>
      <c r="T8" s="61"/>
      <c r="U8" s="63">
        <v>0</v>
      </c>
      <c r="V8" s="61"/>
      <c r="W8" s="63">
        <v>0</v>
      </c>
      <c r="X8" s="66"/>
    </row>
    <row r="9" spans="1:29">
      <c r="A9" s="23">
        <f>'ST-I'!A9</f>
        <v>201</v>
      </c>
      <c r="B9" s="17" t="str">
        <f>'ST-I'!B9</f>
        <v>SCT15CS001</v>
      </c>
      <c r="C9" s="24" t="str">
        <f>'ST-I'!C9</f>
        <v>AASHIK N R</v>
      </c>
      <c r="D9" s="6"/>
      <c r="E9" s="64">
        <v>5</v>
      </c>
      <c r="F9" s="62">
        <v>1</v>
      </c>
      <c r="G9" s="64">
        <v>8</v>
      </c>
      <c r="H9" s="62">
        <v>0</v>
      </c>
      <c r="I9" s="64">
        <v>24</v>
      </c>
      <c r="J9" s="62">
        <v>0</v>
      </c>
      <c r="K9" s="64">
        <v>0</v>
      </c>
      <c r="L9" s="62">
        <v>0</v>
      </c>
      <c r="M9" s="64">
        <v>22</v>
      </c>
      <c r="N9" s="62">
        <v>1</v>
      </c>
      <c r="O9" s="64">
        <v>9</v>
      </c>
      <c r="P9" s="62">
        <v>1</v>
      </c>
      <c r="Q9" s="64">
        <v>0</v>
      </c>
      <c r="R9" s="62"/>
      <c r="S9" s="64">
        <v>0</v>
      </c>
      <c r="T9" s="62"/>
      <c r="U9" s="64">
        <v>0</v>
      </c>
      <c r="V9" s="62"/>
      <c r="W9" s="64">
        <v>0</v>
      </c>
      <c r="X9" s="66"/>
    </row>
    <row r="10" spans="1:29">
      <c r="A10" s="23">
        <f>'ST-I'!A10</f>
        <v>202</v>
      </c>
      <c r="B10" s="17" t="str">
        <f>'ST-I'!B10</f>
        <v>SCT15CS002</v>
      </c>
      <c r="C10" s="24" t="str">
        <f>'ST-I'!C10</f>
        <v>ABHILASH JJ</v>
      </c>
      <c r="D10" s="6"/>
      <c r="E10" s="64">
        <v>4</v>
      </c>
      <c r="F10" s="62">
        <v>1</v>
      </c>
      <c r="G10" s="64">
        <v>8</v>
      </c>
      <c r="H10" s="62">
        <v>0</v>
      </c>
      <c r="I10" s="64">
        <v>37</v>
      </c>
      <c r="J10" s="62">
        <v>1</v>
      </c>
      <c r="K10" s="64">
        <v>0</v>
      </c>
      <c r="L10" s="62">
        <v>0</v>
      </c>
      <c r="M10" s="64">
        <v>22</v>
      </c>
      <c r="N10" s="62">
        <v>1</v>
      </c>
      <c r="O10" s="64">
        <v>9</v>
      </c>
      <c r="P10" s="62">
        <v>1</v>
      </c>
      <c r="Q10" s="64">
        <v>0</v>
      </c>
      <c r="R10" s="62"/>
      <c r="S10" s="64">
        <v>0</v>
      </c>
      <c r="T10" s="62"/>
      <c r="U10" s="64">
        <v>0</v>
      </c>
      <c r="V10" s="62"/>
      <c r="W10" s="64">
        <v>0</v>
      </c>
      <c r="X10" s="66"/>
    </row>
    <row r="11" spans="1:29">
      <c r="A11" s="23">
        <f>'ST-I'!A11</f>
        <v>203</v>
      </c>
      <c r="B11" s="17" t="str">
        <f>'ST-I'!B11</f>
        <v>SCT15CS003</v>
      </c>
      <c r="C11" s="24" t="str">
        <f>'ST-I'!C11</f>
        <v>AISWARYA UDAYAN</v>
      </c>
      <c r="D11" s="6"/>
      <c r="E11" s="64">
        <v>2</v>
      </c>
      <c r="F11" s="62">
        <v>0</v>
      </c>
      <c r="G11" s="64">
        <v>10</v>
      </c>
      <c r="H11" s="62">
        <v>1</v>
      </c>
      <c r="I11" s="64">
        <v>43</v>
      </c>
      <c r="J11" s="62">
        <v>1</v>
      </c>
      <c r="K11" s="64">
        <v>0</v>
      </c>
      <c r="L11" s="62">
        <v>0</v>
      </c>
      <c r="M11" s="64">
        <v>21</v>
      </c>
      <c r="N11" s="62">
        <v>1</v>
      </c>
      <c r="O11" s="64">
        <v>9</v>
      </c>
      <c r="P11" s="62">
        <v>1</v>
      </c>
      <c r="Q11" s="64">
        <v>0</v>
      </c>
      <c r="R11" s="62"/>
      <c r="S11" s="64">
        <v>0</v>
      </c>
      <c r="T11" s="62"/>
      <c r="U11" s="64">
        <v>0</v>
      </c>
      <c r="V11" s="62"/>
      <c r="W11" s="64">
        <v>0</v>
      </c>
      <c r="X11" s="66"/>
    </row>
    <row r="12" spans="1:29">
      <c r="A12" s="23">
        <f>'ST-I'!A12</f>
        <v>204</v>
      </c>
      <c r="B12" s="17" t="str">
        <f>'ST-I'!B12</f>
        <v>SCT15CS004</v>
      </c>
      <c r="C12" s="24" t="str">
        <f>'ST-I'!C12</f>
        <v>AKSHAY A PRAJAPATHY</v>
      </c>
      <c r="D12" s="6"/>
      <c r="E12" s="64">
        <v>7</v>
      </c>
      <c r="F12" s="62">
        <v>1</v>
      </c>
      <c r="G12" s="64">
        <v>10</v>
      </c>
      <c r="H12" s="62">
        <v>1</v>
      </c>
      <c r="I12" s="64">
        <v>36.5</v>
      </c>
      <c r="J12" s="62">
        <v>1</v>
      </c>
      <c r="K12" s="64">
        <v>0</v>
      </c>
      <c r="L12" s="62">
        <v>0</v>
      </c>
      <c r="M12" s="64">
        <v>22</v>
      </c>
      <c r="N12" s="62">
        <v>1</v>
      </c>
      <c r="O12" s="64">
        <v>9</v>
      </c>
      <c r="P12" s="62">
        <v>1</v>
      </c>
      <c r="Q12" s="64">
        <v>0</v>
      </c>
      <c r="R12" s="62"/>
      <c r="S12" s="64">
        <v>0</v>
      </c>
      <c r="T12" s="62"/>
      <c r="U12" s="64">
        <v>0</v>
      </c>
      <c r="V12" s="62"/>
      <c r="W12" s="64">
        <v>0</v>
      </c>
      <c r="X12" s="66"/>
    </row>
    <row r="13" spans="1:29">
      <c r="A13" s="23">
        <f>'ST-I'!A13</f>
        <v>205</v>
      </c>
      <c r="B13" s="17" t="str">
        <f>'ST-I'!B13</f>
        <v>SCT15CS005</v>
      </c>
      <c r="C13" s="24" t="str">
        <f>'ST-I'!C13</f>
        <v>ALBIN ANTONY</v>
      </c>
      <c r="D13" s="6"/>
      <c r="E13" s="64">
        <v>3.5</v>
      </c>
      <c r="F13" s="62">
        <v>1</v>
      </c>
      <c r="G13" s="64">
        <v>5</v>
      </c>
      <c r="H13" s="62">
        <v>0</v>
      </c>
      <c r="I13" s="64">
        <v>31</v>
      </c>
      <c r="J13" s="62">
        <v>1</v>
      </c>
      <c r="K13" s="64">
        <v>0</v>
      </c>
      <c r="L13" s="62">
        <v>0</v>
      </c>
      <c r="M13" s="64">
        <v>20.5</v>
      </c>
      <c r="N13" s="62">
        <v>1</v>
      </c>
      <c r="O13" s="64">
        <v>9</v>
      </c>
      <c r="P13" s="62">
        <v>1</v>
      </c>
      <c r="Q13" s="64">
        <v>0</v>
      </c>
      <c r="R13" s="62"/>
      <c r="S13" s="64">
        <v>0</v>
      </c>
      <c r="T13" s="62"/>
      <c r="U13" s="64">
        <v>0</v>
      </c>
      <c r="V13" s="62"/>
      <c r="W13" s="64">
        <v>0</v>
      </c>
      <c r="X13" s="66"/>
    </row>
    <row r="14" spans="1:29">
      <c r="A14" s="23">
        <f>'ST-I'!A14</f>
        <v>206</v>
      </c>
      <c r="B14" s="17" t="str">
        <f>'ST-I'!B14</f>
        <v>SCT15CS006</v>
      </c>
      <c r="C14" s="24" t="str">
        <f>'ST-I'!C14</f>
        <v>ALEX M JOHN</v>
      </c>
      <c r="D14" s="6"/>
      <c r="E14" s="64">
        <v>4</v>
      </c>
      <c r="F14" s="62">
        <v>1</v>
      </c>
      <c r="G14" s="64">
        <v>7</v>
      </c>
      <c r="H14" s="62">
        <v>0</v>
      </c>
      <c r="I14" s="64">
        <v>30</v>
      </c>
      <c r="J14" s="62">
        <v>1</v>
      </c>
      <c r="K14" s="64">
        <v>0</v>
      </c>
      <c r="L14" s="62">
        <v>0</v>
      </c>
      <c r="M14" s="64">
        <v>22</v>
      </c>
      <c r="N14" s="62">
        <v>1</v>
      </c>
      <c r="O14" s="64">
        <v>9</v>
      </c>
      <c r="P14" s="62">
        <v>1</v>
      </c>
      <c r="Q14" s="64">
        <v>0</v>
      </c>
      <c r="R14" s="62"/>
      <c r="S14" s="64">
        <v>0</v>
      </c>
      <c r="T14" s="62"/>
      <c r="U14" s="64">
        <v>0</v>
      </c>
      <c r="V14" s="62"/>
      <c r="W14" s="64">
        <v>0</v>
      </c>
      <c r="X14" s="66"/>
    </row>
    <row r="15" spans="1:29">
      <c r="A15" s="23">
        <f>'ST-I'!A15</f>
        <v>207</v>
      </c>
      <c r="B15" s="17" t="str">
        <f>'ST-I'!B15</f>
        <v>SCT15CS007</v>
      </c>
      <c r="C15" s="24" t="str">
        <f>'ST-I'!C15</f>
        <v>ALIN BABU</v>
      </c>
      <c r="D15" s="6"/>
      <c r="E15" s="64">
        <v>0</v>
      </c>
      <c r="F15" s="62">
        <v>0</v>
      </c>
      <c r="G15" s="64">
        <v>0</v>
      </c>
      <c r="H15" s="62">
        <v>0</v>
      </c>
      <c r="I15" s="64">
        <v>0</v>
      </c>
      <c r="J15" s="62">
        <v>0</v>
      </c>
      <c r="K15" s="64">
        <v>0</v>
      </c>
      <c r="L15" s="62">
        <v>0</v>
      </c>
      <c r="M15" s="64">
        <v>0</v>
      </c>
      <c r="N15" s="62">
        <v>0</v>
      </c>
      <c r="O15" s="64">
        <v>0</v>
      </c>
      <c r="P15" s="62">
        <v>0</v>
      </c>
      <c r="Q15" s="64">
        <v>0</v>
      </c>
      <c r="R15" s="62"/>
      <c r="S15" s="64">
        <v>0</v>
      </c>
      <c r="T15" s="62"/>
      <c r="U15" s="64">
        <v>0</v>
      </c>
      <c r="V15" s="62"/>
      <c r="W15" s="64">
        <v>0</v>
      </c>
      <c r="X15" s="66"/>
    </row>
    <row r="16" spans="1:29">
      <c r="A16" s="23">
        <f>'ST-I'!A16</f>
        <v>208</v>
      </c>
      <c r="B16" s="17" t="str">
        <f>'ST-I'!B16</f>
        <v>SCT15CS008</v>
      </c>
      <c r="C16" s="24" t="str">
        <f>'ST-I'!C16</f>
        <v>AMANYU ROY A P</v>
      </c>
      <c r="D16" s="6"/>
      <c r="E16" s="64">
        <v>0</v>
      </c>
      <c r="F16" s="62">
        <v>0</v>
      </c>
      <c r="G16" s="64">
        <v>5</v>
      </c>
      <c r="H16" s="62">
        <v>0</v>
      </c>
      <c r="I16" s="64">
        <v>28</v>
      </c>
      <c r="J16" s="62">
        <v>1</v>
      </c>
      <c r="K16" s="64">
        <v>0</v>
      </c>
      <c r="L16" s="62">
        <v>0</v>
      </c>
      <c r="M16" s="64">
        <v>18</v>
      </c>
      <c r="N16" s="62">
        <v>0</v>
      </c>
      <c r="O16" s="64">
        <v>9</v>
      </c>
      <c r="P16" s="62">
        <v>1</v>
      </c>
      <c r="Q16" s="64">
        <v>0</v>
      </c>
      <c r="R16" s="62"/>
      <c r="S16" s="64">
        <v>0</v>
      </c>
      <c r="T16" s="62"/>
      <c r="U16" s="64">
        <v>0</v>
      </c>
      <c r="V16" s="62"/>
      <c r="W16" s="64">
        <v>0</v>
      </c>
      <c r="X16" s="66"/>
    </row>
    <row r="17" spans="1:24">
      <c r="A17" s="23">
        <f>'ST-I'!A17</f>
        <v>209</v>
      </c>
      <c r="B17" s="17" t="str">
        <f>'ST-I'!B17</f>
        <v>SCT15CS009</v>
      </c>
      <c r="C17" s="24" t="str">
        <f>'ST-I'!C17</f>
        <v>ANJANA S M</v>
      </c>
      <c r="D17" s="6"/>
      <c r="E17" s="64">
        <v>7</v>
      </c>
      <c r="F17" s="62">
        <v>1</v>
      </c>
      <c r="G17" s="64">
        <v>12</v>
      </c>
      <c r="H17" s="62">
        <v>1</v>
      </c>
      <c r="I17" s="64">
        <v>33</v>
      </c>
      <c r="J17" s="62">
        <v>1</v>
      </c>
      <c r="K17" s="64">
        <v>2</v>
      </c>
      <c r="L17" s="62">
        <v>0</v>
      </c>
      <c r="M17" s="64">
        <v>22</v>
      </c>
      <c r="N17" s="62">
        <v>1</v>
      </c>
      <c r="O17" s="64">
        <v>9</v>
      </c>
      <c r="P17" s="62">
        <v>1</v>
      </c>
      <c r="Q17" s="64">
        <v>0</v>
      </c>
      <c r="R17" s="62"/>
      <c r="S17" s="64">
        <v>0</v>
      </c>
      <c r="T17" s="62"/>
      <c r="U17" s="64">
        <v>0</v>
      </c>
      <c r="V17" s="62"/>
      <c r="W17" s="64">
        <v>0</v>
      </c>
      <c r="X17" s="66"/>
    </row>
    <row r="18" spans="1:24">
      <c r="A18" s="23">
        <f>'ST-I'!A18</f>
        <v>210</v>
      </c>
      <c r="B18" s="17" t="str">
        <f>'ST-I'!B18</f>
        <v>SCT15CS010</v>
      </c>
      <c r="C18" s="24" t="str">
        <f>'ST-I'!C18</f>
        <v>APARNA S</v>
      </c>
      <c r="D18" s="6"/>
      <c r="E18" s="64">
        <v>6</v>
      </c>
      <c r="F18" s="62">
        <v>1</v>
      </c>
      <c r="G18" s="64">
        <v>15</v>
      </c>
      <c r="H18" s="62">
        <v>1</v>
      </c>
      <c r="I18" s="64">
        <v>53</v>
      </c>
      <c r="J18" s="62">
        <v>1</v>
      </c>
      <c r="K18" s="64">
        <v>2</v>
      </c>
      <c r="L18" s="62">
        <v>0</v>
      </c>
      <c r="M18" s="64">
        <v>26</v>
      </c>
      <c r="N18" s="62">
        <v>1</v>
      </c>
      <c r="O18" s="64">
        <v>9</v>
      </c>
      <c r="P18" s="62">
        <v>1</v>
      </c>
      <c r="Q18" s="64">
        <v>0</v>
      </c>
      <c r="R18" s="62"/>
      <c r="S18" s="64">
        <v>0</v>
      </c>
      <c r="T18" s="62"/>
      <c r="U18" s="64">
        <v>0</v>
      </c>
      <c r="V18" s="62"/>
      <c r="W18" s="64">
        <v>0</v>
      </c>
      <c r="X18" s="66"/>
    </row>
    <row r="19" spans="1:24">
      <c r="A19" s="23">
        <f>'ST-I'!A19</f>
        <v>211</v>
      </c>
      <c r="B19" s="17" t="str">
        <f>'ST-I'!B19</f>
        <v>SCT15CS011</v>
      </c>
      <c r="C19" s="24" t="str">
        <f>'ST-I'!C19</f>
        <v>ARAVIND R</v>
      </c>
      <c r="D19" s="6"/>
      <c r="E19" s="64">
        <v>6.5</v>
      </c>
      <c r="F19" s="62">
        <v>1</v>
      </c>
      <c r="G19" s="64">
        <v>14</v>
      </c>
      <c r="H19" s="62">
        <v>1</v>
      </c>
      <c r="I19" s="64">
        <v>52</v>
      </c>
      <c r="J19" s="62">
        <v>1</v>
      </c>
      <c r="K19" s="64">
        <v>2</v>
      </c>
      <c r="L19" s="62">
        <v>0</v>
      </c>
      <c r="M19" s="64">
        <v>32</v>
      </c>
      <c r="N19" s="62">
        <v>1</v>
      </c>
      <c r="O19" s="64">
        <v>9</v>
      </c>
      <c r="P19" s="62">
        <v>1</v>
      </c>
      <c r="Q19" s="64">
        <v>0</v>
      </c>
      <c r="R19" s="62"/>
      <c r="S19" s="64">
        <v>0</v>
      </c>
      <c r="T19" s="62"/>
      <c r="U19" s="64">
        <v>0</v>
      </c>
      <c r="V19" s="62"/>
      <c r="W19" s="64">
        <v>0</v>
      </c>
      <c r="X19" s="66"/>
    </row>
    <row r="20" spans="1:24">
      <c r="A20" s="23">
        <f>'ST-I'!A20</f>
        <v>212</v>
      </c>
      <c r="B20" s="17" t="str">
        <f>'ST-I'!B20</f>
        <v>SCT15CS012</v>
      </c>
      <c r="C20" s="24" t="str">
        <f>'ST-I'!C20</f>
        <v>ARJUN MURALEEDHARAN</v>
      </c>
      <c r="D20" s="6"/>
      <c r="E20" s="64">
        <v>3</v>
      </c>
      <c r="F20" s="62">
        <v>0</v>
      </c>
      <c r="G20" s="64">
        <v>11</v>
      </c>
      <c r="H20" s="62">
        <v>1</v>
      </c>
      <c r="I20" s="64">
        <v>50.5</v>
      </c>
      <c r="J20" s="62">
        <v>1</v>
      </c>
      <c r="K20" s="64">
        <v>2</v>
      </c>
      <c r="L20" s="62">
        <v>0</v>
      </c>
      <c r="M20" s="64">
        <v>25</v>
      </c>
      <c r="N20" s="62">
        <v>1</v>
      </c>
      <c r="O20" s="64">
        <v>10</v>
      </c>
      <c r="P20" s="62">
        <v>1</v>
      </c>
      <c r="Q20" s="64">
        <v>0</v>
      </c>
      <c r="R20" s="62"/>
      <c r="S20" s="64">
        <v>0</v>
      </c>
      <c r="T20" s="62"/>
      <c r="U20" s="64">
        <v>0</v>
      </c>
      <c r="V20" s="62"/>
      <c r="W20" s="64">
        <v>0</v>
      </c>
      <c r="X20" s="66"/>
    </row>
    <row r="21" spans="1:24">
      <c r="A21" s="23">
        <f>'ST-I'!A21</f>
        <v>213</v>
      </c>
      <c r="B21" s="17" t="str">
        <f>'ST-I'!B21</f>
        <v>SCT15CS013</v>
      </c>
      <c r="C21" s="24" t="str">
        <f>'ST-I'!C21</f>
        <v>ARJUN C RAMESH</v>
      </c>
      <c r="D21" s="6"/>
      <c r="E21" s="64">
        <v>4</v>
      </c>
      <c r="F21" s="62">
        <v>1</v>
      </c>
      <c r="G21" s="64">
        <v>10</v>
      </c>
      <c r="H21" s="62">
        <v>1</v>
      </c>
      <c r="I21" s="64">
        <v>25</v>
      </c>
      <c r="J21" s="62">
        <v>0</v>
      </c>
      <c r="K21" s="64">
        <v>10</v>
      </c>
      <c r="L21" s="62">
        <v>1</v>
      </c>
      <c r="M21" s="64">
        <v>29</v>
      </c>
      <c r="N21" s="62">
        <v>1</v>
      </c>
      <c r="O21" s="64">
        <v>5</v>
      </c>
      <c r="P21" s="62">
        <v>1</v>
      </c>
      <c r="Q21" s="64">
        <v>0</v>
      </c>
      <c r="R21" s="62"/>
      <c r="S21" s="64">
        <v>0</v>
      </c>
      <c r="T21" s="62"/>
      <c r="U21" s="64">
        <v>0</v>
      </c>
      <c r="V21" s="62"/>
      <c r="W21" s="64">
        <v>0</v>
      </c>
      <c r="X21" s="66"/>
    </row>
    <row r="22" spans="1:24">
      <c r="A22" s="23">
        <f>'ST-I'!A22</f>
        <v>214</v>
      </c>
      <c r="B22" s="17" t="str">
        <f>'ST-I'!B22</f>
        <v>SCT15CS014</v>
      </c>
      <c r="C22" s="24" t="str">
        <f>'ST-I'!C22</f>
        <v>ARUNDHATI KURUP</v>
      </c>
      <c r="D22" s="6"/>
      <c r="E22" s="64">
        <v>6</v>
      </c>
      <c r="F22" s="62">
        <v>1</v>
      </c>
      <c r="G22" s="64">
        <v>20</v>
      </c>
      <c r="H22" s="62">
        <v>1</v>
      </c>
      <c r="I22" s="64">
        <v>44</v>
      </c>
      <c r="J22" s="62">
        <v>1</v>
      </c>
      <c r="K22" s="64">
        <v>10</v>
      </c>
      <c r="L22" s="62">
        <v>1</v>
      </c>
      <c r="M22" s="64">
        <v>39</v>
      </c>
      <c r="N22" s="62">
        <v>1</v>
      </c>
      <c r="O22" s="64">
        <v>5</v>
      </c>
      <c r="P22" s="62">
        <v>1</v>
      </c>
      <c r="Q22" s="64">
        <v>0</v>
      </c>
      <c r="R22" s="62"/>
      <c r="S22" s="64">
        <v>0</v>
      </c>
      <c r="T22" s="62"/>
      <c r="U22" s="64">
        <v>0</v>
      </c>
      <c r="V22" s="62"/>
      <c r="W22" s="64">
        <v>0</v>
      </c>
      <c r="X22" s="66"/>
    </row>
    <row r="23" spans="1:24">
      <c r="A23" s="23">
        <f>'ST-I'!A23</f>
        <v>215</v>
      </c>
      <c r="B23" s="17" t="str">
        <f>'ST-I'!B23</f>
        <v>SCT15CS015</v>
      </c>
      <c r="C23" s="24" t="str">
        <f>'ST-I'!C23</f>
        <v>ATHIRA S PILLAI</v>
      </c>
      <c r="D23" s="6"/>
      <c r="E23" s="64">
        <v>5</v>
      </c>
      <c r="F23" s="62">
        <v>1</v>
      </c>
      <c r="G23" s="64">
        <v>10</v>
      </c>
      <c r="H23" s="62">
        <v>1</v>
      </c>
      <c r="I23" s="64">
        <v>43</v>
      </c>
      <c r="J23" s="62">
        <v>1</v>
      </c>
      <c r="K23" s="64">
        <v>10</v>
      </c>
      <c r="L23" s="62">
        <v>1</v>
      </c>
      <c r="M23" s="64">
        <v>39</v>
      </c>
      <c r="N23" s="62">
        <v>1</v>
      </c>
      <c r="O23" s="64">
        <v>10</v>
      </c>
      <c r="P23" s="62">
        <v>1</v>
      </c>
      <c r="Q23" s="64">
        <v>0</v>
      </c>
      <c r="R23" s="62"/>
      <c r="S23" s="64">
        <v>0</v>
      </c>
      <c r="T23" s="62"/>
      <c r="U23" s="64">
        <v>0</v>
      </c>
      <c r="V23" s="62"/>
      <c r="W23" s="64">
        <v>0</v>
      </c>
      <c r="X23" s="66"/>
    </row>
    <row r="24" spans="1:24">
      <c r="A24" s="23">
        <f>'ST-I'!A24</f>
        <v>216</v>
      </c>
      <c r="B24" s="17" t="str">
        <f>'ST-I'!B24</f>
        <v>SCT15CS016</v>
      </c>
      <c r="C24" s="24" t="str">
        <f>'ST-I'!C24</f>
        <v>ATHUL RAJ</v>
      </c>
      <c r="D24" s="6"/>
      <c r="E24" s="64">
        <v>6.5</v>
      </c>
      <c r="F24" s="62">
        <v>1</v>
      </c>
      <c r="G24" s="64">
        <v>12</v>
      </c>
      <c r="H24" s="62">
        <v>1</v>
      </c>
      <c r="I24" s="64">
        <v>50</v>
      </c>
      <c r="J24" s="62">
        <v>1</v>
      </c>
      <c r="K24" s="64">
        <v>10</v>
      </c>
      <c r="L24" s="62">
        <v>1</v>
      </c>
      <c r="M24" s="64">
        <v>29</v>
      </c>
      <c r="N24" s="62">
        <v>1</v>
      </c>
      <c r="O24" s="64">
        <v>10</v>
      </c>
      <c r="P24" s="62">
        <v>1</v>
      </c>
      <c r="Q24" s="64">
        <v>0</v>
      </c>
      <c r="R24" s="62"/>
      <c r="S24" s="64">
        <v>0</v>
      </c>
      <c r="T24" s="62"/>
      <c r="U24" s="64">
        <v>0</v>
      </c>
      <c r="V24" s="62"/>
      <c r="W24" s="64">
        <v>0</v>
      </c>
      <c r="X24" s="66"/>
    </row>
    <row r="25" spans="1:24">
      <c r="A25" s="23">
        <f>'ST-I'!A25</f>
        <v>217</v>
      </c>
      <c r="B25" s="17" t="str">
        <f>'ST-I'!B25</f>
        <v>SCT15CS017</v>
      </c>
      <c r="C25" s="24" t="str">
        <f>'ST-I'!C25</f>
        <v>ATHULYA AL</v>
      </c>
      <c r="D25" s="6"/>
      <c r="E25" s="64">
        <v>3</v>
      </c>
      <c r="F25" s="62">
        <v>0</v>
      </c>
      <c r="G25" s="64">
        <v>4</v>
      </c>
      <c r="H25" s="62">
        <v>0</v>
      </c>
      <c r="I25" s="64">
        <v>14.5</v>
      </c>
      <c r="J25" s="62">
        <v>0</v>
      </c>
      <c r="K25" s="64">
        <v>0</v>
      </c>
      <c r="L25" s="62">
        <v>0</v>
      </c>
      <c r="M25" s="64">
        <v>4</v>
      </c>
      <c r="N25" s="62">
        <v>0</v>
      </c>
      <c r="O25" s="64">
        <v>5</v>
      </c>
      <c r="P25" s="62">
        <v>1</v>
      </c>
      <c r="Q25" s="64">
        <v>0</v>
      </c>
      <c r="R25" s="62"/>
      <c r="S25" s="64">
        <v>0</v>
      </c>
      <c r="T25" s="62"/>
      <c r="U25" s="64">
        <v>0</v>
      </c>
      <c r="V25" s="62"/>
      <c r="W25" s="64">
        <v>0</v>
      </c>
      <c r="X25" s="66"/>
    </row>
    <row r="26" spans="1:24">
      <c r="A26" s="23">
        <f>'ST-I'!A26</f>
        <v>218</v>
      </c>
      <c r="B26" s="17" t="str">
        <f>'ST-I'!B26</f>
        <v>SCT15CS018</v>
      </c>
      <c r="C26" s="24" t="str">
        <f>'ST-I'!C26</f>
        <v>CYRIL SUNNY</v>
      </c>
      <c r="D26" s="6"/>
      <c r="E26" s="64">
        <v>1</v>
      </c>
      <c r="F26" s="62">
        <v>0</v>
      </c>
      <c r="G26" s="64">
        <v>3</v>
      </c>
      <c r="H26" s="62">
        <v>0</v>
      </c>
      <c r="I26" s="64">
        <v>18.5</v>
      </c>
      <c r="J26" s="62">
        <v>0</v>
      </c>
      <c r="K26" s="64">
        <v>0</v>
      </c>
      <c r="L26" s="62">
        <v>0</v>
      </c>
      <c r="M26" s="64">
        <v>10</v>
      </c>
      <c r="N26" s="62">
        <v>0</v>
      </c>
      <c r="O26" s="64">
        <v>9</v>
      </c>
      <c r="P26" s="62">
        <v>1</v>
      </c>
      <c r="Q26" s="64">
        <v>0</v>
      </c>
      <c r="R26" s="62"/>
      <c r="S26" s="64">
        <v>0</v>
      </c>
      <c r="T26" s="62"/>
      <c r="U26" s="64">
        <v>0</v>
      </c>
      <c r="V26" s="62"/>
      <c r="W26" s="64">
        <v>0</v>
      </c>
      <c r="X26" s="66"/>
    </row>
    <row r="27" spans="1:24">
      <c r="A27" s="23">
        <f>'ST-I'!A27</f>
        <v>219</v>
      </c>
      <c r="B27" s="17" t="str">
        <f>'ST-I'!B27</f>
        <v>SCT15CS019</v>
      </c>
      <c r="C27" s="24" t="str">
        <f>'ST-I'!C27</f>
        <v>DEEPAK R B</v>
      </c>
      <c r="D27" s="6"/>
      <c r="E27" s="64">
        <v>5</v>
      </c>
      <c r="F27" s="62">
        <v>1</v>
      </c>
      <c r="G27" s="64">
        <v>3</v>
      </c>
      <c r="H27" s="62">
        <v>0</v>
      </c>
      <c r="I27" s="64">
        <v>24</v>
      </c>
      <c r="J27" s="62">
        <v>0</v>
      </c>
      <c r="K27" s="64">
        <v>0</v>
      </c>
      <c r="L27" s="62">
        <v>0</v>
      </c>
      <c r="M27" s="64">
        <v>14.5</v>
      </c>
      <c r="N27" s="62">
        <v>0</v>
      </c>
      <c r="O27" s="64">
        <v>10</v>
      </c>
      <c r="P27" s="62">
        <v>1</v>
      </c>
      <c r="Q27" s="64">
        <v>0</v>
      </c>
      <c r="R27" s="62"/>
      <c r="S27" s="64">
        <v>0</v>
      </c>
      <c r="T27" s="62"/>
      <c r="U27" s="64">
        <v>0</v>
      </c>
      <c r="V27" s="62"/>
      <c r="W27" s="64">
        <v>0</v>
      </c>
      <c r="X27" s="66"/>
    </row>
    <row r="28" spans="1:24">
      <c r="A28" s="23">
        <f>'ST-I'!A28</f>
        <v>220</v>
      </c>
      <c r="B28" s="17" t="str">
        <f>'ST-I'!B28</f>
        <v>SCT15CS020</v>
      </c>
      <c r="C28" s="24" t="str">
        <f>'ST-I'!C28</f>
        <v>DEEPAK S S</v>
      </c>
      <c r="D28" s="6"/>
      <c r="E28" s="64">
        <v>4</v>
      </c>
      <c r="F28" s="62">
        <v>1</v>
      </c>
      <c r="G28" s="64">
        <v>3</v>
      </c>
      <c r="H28" s="62">
        <v>0</v>
      </c>
      <c r="I28" s="64">
        <v>26</v>
      </c>
      <c r="J28" s="62">
        <v>0</v>
      </c>
      <c r="K28" s="64">
        <v>0</v>
      </c>
      <c r="L28" s="62">
        <v>0</v>
      </c>
      <c r="M28" s="64">
        <v>5</v>
      </c>
      <c r="N28" s="62">
        <v>0</v>
      </c>
      <c r="O28" s="64">
        <v>10</v>
      </c>
      <c r="P28" s="62">
        <v>1</v>
      </c>
      <c r="Q28" s="64">
        <v>0</v>
      </c>
      <c r="R28" s="62"/>
      <c r="S28" s="64">
        <v>0</v>
      </c>
      <c r="T28" s="62"/>
      <c r="U28" s="64">
        <v>0</v>
      </c>
      <c r="V28" s="62"/>
      <c r="W28" s="64">
        <v>0</v>
      </c>
      <c r="X28" s="66"/>
    </row>
    <row r="29" spans="1:24">
      <c r="A29" s="23">
        <f>'ST-I'!A29</f>
        <v>221</v>
      </c>
      <c r="B29" s="17" t="str">
        <f>'ST-I'!B29</f>
        <v>SCT15CS021</v>
      </c>
      <c r="C29" s="24" t="str">
        <f>'ST-I'!C29</f>
        <v>DISHA D MAJITHIA</v>
      </c>
      <c r="D29" s="6"/>
      <c r="E29" s="64">
        <v>7</v>
      </c>
      <c r="F29" s="62">
        <v>1</v>
      </c>
      <c r="G29" s="64">
        <v>7</v>
      </c>
      <c r="H29" s="62">
        <v>0</v>
      </c>
      <c r="I29" s="64">
        <v>46</v>
      </c>
      <c r="J29" s="62">
        <v>1</v>
      </c>
      <c r="K29" s="64">
        <v>0</v>
      </c>
      <c r="L29" s="62">
        <v>0</v>
      </c>
      <c r="M29" s="64">
        <v>18</v>
      </c>
      <c r="N29" s="62">
        <v>0</v>
      </c>
      <c r="O29" s="64">
        <v>9</v>
      </c>
      <c r="P29" s="62">
        <v>1</v>
      </c>
      <c r="Q29" s="64">
        <v>0</v>
      </c>
      <c r="R29" s="62"/>
      <c r="S29" s="64">
        <v>0</v>
      </c>
      <c r="T29" s="62"/>
      <c r="U29" s="64">
        <v>0</v>
      </c>
      <c r="V29" s="62"/>
      <c r="W29" s="64">
        <v>0</v>
      </c>
      <c r="X29" s="66"/>
    </row>
    <row r="30" spans="1:24">
      <c r="A30" s="23">
        <f>'ST-I'!A30</f>
        <v>222</v>
      </c>
      <c r="B30" s="17" t="str">
        <f>'ST-I'!B30</f>
        <v>SCT15CS022</v>
      </c>
      <c r="C30" s="24" t="str">
        <f>'ST-I'!C30</f>
        <v>EBIN J</v>
      </c>
      <c r="D30" s="6"/>
      <c r="E30" s="64">
        <v>5</v>
      </c>
      <c r="F30" s="62">
        <v>1</v>
      </c>
      <c r="G30" s="64">
        <v>6</v>
      </c>
      <c r="H30" s="62">
        <v>0</v>
      </c>
      <c r="I30" s="64">
        <v>38</v>
      </c>
      <c r="J30" s="62">
        <v>1</v>
      </c>
      <c r="K30" s="64">
        <v>0</v>
      </c>
      <c r="L30" s="62">
        <v>0</v>
      </c>
      <c r="M30" s="64">
        <v>14</v>
      </c>
      <c r="N30" s="62">
        <v>0</v>
      </c>
      <c r="O30" s="64">
        <v>10</v>
      </c>
      <c r="P30" s="62">
        <v>1</v>
      </c>
      <c r="Q30" s="64">
        <v>0</v>
      </c>
      <c r="R30" s="62"/>
      <c r="S30" s="64">
        <v>0</v>
      </c>
      <c r="T30" s="62"/>
      <c r="U30" s="64">
        <v>0</v>
      </c>
      <c r="V30" s="62"/>
      <c r="W30" s="64">
        <v>0</v>
      </c>
      <c r="X30" s="66"/>
    </row>
    <row r="31" spans="1:24">
      <c r="A31" s="23">
        <f>'ST-I'!A31</f>
        <v>223</v>
      </c>
      <c r="B31" s="17" t="str">
        <f>'ST-I'!B31</f>
        <v>SCT15CS023</v>
      </c>
      <c r="C31" s="24" t="str">
        <f>'ST-I'!C31</f>
        <v>FAISAL MOHAMMED A</v>
      </c>
      <c r="D31" s="6"/>
      <c r="E31" s="64">
        <v>2</v>
      </c>
      <c r="F31" s="62">
        <v>0</v>
      </c>
      <c r="G31" s="64">
        <v>4</v>
      </c>
      <c r="H31" s="62">
        <v>0</v>
      </c>
      <c r="I31" s="64">
        <v>38</v>
      </c>
      <c r="J31" s="62">
        <v>1</v>
      </c>
      <c r="K31" s="64">
        <v>0</v>
      </c>
      <c r="L31" s="62">
        <v>0</v>
      </c>
      <c r="M31" s="64">
        <v>20</v>
      </c>
      <c r="N31" s="62">
        <v>1</v>
      </c>
      <c r="O31" s="64">
        <v>9</v>
      </c>
      <c r="P31" s="62">
        <v>1</v>
      </c>
      <c r="Q31" s="64">
        <v>0</v>
      </c>
      <c r="R31" s="62"/>
      <c r="S31" s="64">
        <v>0</v>
      </c>
      <c r="T31" s="62"/>
      <c r="U31" s="64">
        <v>0</v>
      </c>
      <c r="V31" s="62"/>
      <c r="W31" s="64">
        <v>0</v>
      </c>
      <c r="X31" s="66"/>
    </row>
    <row r="32" spans="1:24">
      <c r="A32" s="23">
        <f>'ST-I'!A32</f>
        <v>224</v>
      </c>
      <c r="B32" s="17" t="str">
        <f>'ST-I'!B32</f>
        <v>SCT15CS024</v>
      </c>
      <c r="C32" s="24" t="str">
        <f>'ST-I'!C32</f>
        <v>GAYATHRI S</v>
      </c>
      <c r="D32" s="6"/>
      <c r="E32" s="64">
        <v>7</v>
      </c>
      <c r="F32" s="62">
        <v>1</v>
      </c>
      <c r="G32" s="64">
        <v>7</v>
      </c>
      <c r="H32" s="62">
        <v>0</v>
      </c>
      <c r="I32" s="64">
        <v>35</v>
      </c>
      <c r="J32" s="62">
        <v>1</v>
      </c>
      <c r="K32" s="64">
        <v>0</v>
      </c>
      <c r="L32" s="62">
        <v>0</v>
      </c>
      <c r="M32" s="64">
        <v>14</v>
      </c>
      <c r="N32" s="62">
        <v>0</v>
      </c>
      <c r="O32" s="64">
        <v>10</v>
      </c>
      <c r="P32" s="62">
        <v>1</v>
      </c>
      <c r="Q32" s="64">
        <v>0</v>
      </c>
      <c r="R32" s="62"/>
      <c r="S32" s="64">
        <v>0</v>
      </c>
      <c r="T32" s="62"/>
      <c r="U32" s="64">
        <v>0</v>
      </c>
      <c r="V32" s="62"/>
      <c r="W32" s="64">
        <v>0</v>
      </c>
      <c r="X32" s="66"/>
    </row>
    <row r="33" spans="1:24">
      <c r="A33" s="23">
        <f>'ST-I'!A33</f>
        <v>225</v>
      </c>
      <c r="B33" s="17" t="str">
        <f>'ST-I'!B33</f>
        <v>SCT15CS025</v>
      </c>
      <c r="C33" s="24" t="str">
        <f>'ST-I'!C33</f>
        <v>GOPIKA M</v>
      </c>
      <c r="D33" s="6"/>
      <c r="E33" s="64">
        <v>7</v>
      </c>
      <c r="F33" s="62">
        <v>1</v>
      </c>
      <c r="G33" s="64">
        <v>12</v>
      </c>
      <c r="H33" s="62">
        <v>1</v>
      </c>
      <c r="I33" s="64">
        <v>48</v>
      </c>
      <c r="J33" s="62">
        <v>1</v>
      </c>
      <c r="K33" s="64">
        <v>10</v>
      </c>
      <c r="L33" s="62">
        <v>1</v>
      </c>
      <c r="M33" s="64">
        <v>39</v>
      </c>
      <c r="N33" s="62">
        <v>1</v>
      </c>
      <c r="O33" s="64">
        <v>9</v>
      </c>
      <c r="P33" s="62">
        <v>1</v>
      </c>
      <c r="Q33" s="64">
        <v>0</v>
      </c>
      <c r="R33" s="62"/>
      <c r="S33" s="64">
        <v>0</v>
      </c>
      <c r="T33" s="62"/>
      <c r="U33" s="64">
        <v>0</v>
      </c>
      <c r="V33" s="62"/>
      <c r="W33" s="64">
        <v>0</v>
      </c>
      <c r="X33" s="66"/>
    </row>
    <row r="34" spans="1:24">
      <c r="A34" s="23">
        <f>'ST-I'!A34</f>
        <v>226</v>
      </c>
      <c r="B34" s="17" t="str">
        <f>'ST-I'!B34</f>
        <v>SCT15CS026</v>
      </c>
      <c r="C34" s="24" t="str">
        <f>'ST-I'!C34</f>
        <v>GOURY JYOTHISH</v>
      </c>
      <c r="D34" s="6"/>
      <c r="E34" s="64">
        <v>7</v>
      </c>
      <c r="F34" s="62">
        <v>1</v>
      </c>
      <c r="G34" s="64">
        <v>12</v>
      </c>
      <c r="H34" s="62">
        <v>1</v>
      </c>
      <c r="I34" s="64">
        <v>46</v>
      </c>
      <c r="J34" s="62">
        <v>1</v>
      </c>
      <c r="K34" s="64">
        <v>10</v>
      </c>
      <c r="L34" s="62">
        <v>1</v>
      </c>
      <c r="M34" s="64">
        <v>39</v>
      </c>
      <c r="N34" s="62">
        <v>1</v>
      </c>
      <c r="O34" s="64">
        <v>9</v>
      </c>
      <c r="P34" s="62">
        <v>1</v>
      </c>
      <c r="Q34" s="64">
        <v>0</v>
      </c>
      <c r="R34" s="62"/>
      <c r="S34" s="64">
        <v>0</v>
      </c>
      <c r="T34" s="62"/>
      <c r="U34" s="64">
        <v>0</v>
      </c>
      <c r="V34" s="62"/>
      <c r="W34" s="64">
        <v>0</v>
      </c>
      <c r="X34" s="66"/>
    </row>
    <row r="35" spans="1:24">
      <c r="A35" s="23">
        <f>'ST-I'!A35</f>
        <v>227</v>
      </c>
      <c r="B35" s="17" t="str">
        <f>'ST-I'!B35</f>
        <v>SCT15CS027</v>
      </c>
      <c r="C35" s="24" t="str">
        <f>'ST-I'!C35</f>
        <v>GOVIND G S</v>
      </c>
      <c r="D35" s="6"/>
      <c r="E35" s="64">
        <v>7</v>
      </c>
      <c r="F35" s="62">
        <v>1</v>
      </c>
      <c r="G35" s="64">
        <v>12</v>
      </c>
      <c r="H35" s="62">
        <v>1</v>
      </c>
      <c r="I35" s="64">
        <v>35</v>
      </c>
      <c r="J35" s="62">
        <v>1</v>
      </c>
      <c r="K35" s="64">
        <v>10</v>
      </c>
      <c r="L35" s="62">
        <v>1</v>
      </c>
      <c r="M35" s="64">
        <v>38</v>
      </c>
      <c r="N35" s="62">
        <v>1</v>
      </c>
      <c r="O35" s="64">
        <v>9</v>
      </c>
      <c r="P35" s="62">
        <v>1</v>
      </c>
      <c r="Q35" s="64">
        <v>0</v>
      </c>
      <c r="R35" s="62"/>
      <c r="S35" s="64">
        <v>0</v>
      </c>
      <c r="T35" s="62"/>
      <c r="U35" s="64">
        <v>0</v>
      </c>
      <c r="V35" s="62"/>
      <c r="W35" s="64">
        <v>0</v>
      </c>
      <c r="X35" s="66"/>
    </row>
    <row r="36" spans="1:24">
      <c r="A36" s="23">
        <f>'ST-I'!A36</f>
        <v>228</v>
      </c>
      <c r="B36" s="17" t="str">
        <f>'ST-I'!B36</f>
        <v>SCT15CS028</v>
      </c>
      <c r="C36" s="24" t="str">
        <f>'ST-I'!C36</f>
        <v>GOVIND P</v>
      </c>
      <c r="D36" s="6"/>
      <c r="E36" s="64">
        <v>2</v>
      </c>
      <c r="F36" s="62">
        <v>0</v>
      </c>
      <c r="G36" s="64">
        <v>10</v>
      </c>
      <c r="H36" s="62">
        <v>1</v>
      </c>
      <c r="I36" s="64">
        <v>33.5</v>
      </c>
      <c r="J36" s="62">
        <v>1</v>
      </c>
      <c r="K36" s="64">
        <v>10</v>
      </c>
      <c r="L36" s="62">
        <v>1</v>
      </c>
      <c r="M36" s="64">
        <v>25</v>
      </c>
      <c r="N36" s="62">
        <v>1</v>
      </c>
      <c r="O36" s="64">
        <v>9</v>
      </c>
      <c r="P36" s="62">
        <v>1</v>
      </c>
      <c r="Q36" s="64">
        <v>0</v>
      </c>
      <c r="R36" s="62"/>
      <c r="S36" s="64">
        <v>0</v>
      </c>
      <c r="T36" s="62"/>
      <c r="U36" s="64">
        <v>0</v>
      </c>
      <c r="V36" s="62"/>
      <c r="W36" s="64">
        <v>0</v>
      </c>
      <c r="X36" s="66"/>
    </row>
    <row r="37" spans="1:24">
      <c r="A37" s="23">
        <f>'ST-I'!A37</f>
        <v>229</v>
      </c>
      <c r="B37" s="17" t="str">
        <f>'ST-I'!B37</f>
        <v>SCT15CS029</v>
      </c>
      <c r="C37" s="24" t="str">
        <f>'ST-I'!C37</f>
        <v>HIMA BINDU BHARDWAJ</v>
      </c>
      <c r="D37" s="6"/>
      <c r="E37" s="64">
        <v>6</v>
      </c>
      <c r="F37" s="62">
        <v>1</v>
      </c>
      <c r="G37" s="64">
        <v>19</v>
      </c>
      <c r="H37" s="62">
        <v>1</v>
      </c>
      <c r="I37" s="64">
        <v>44</v>
      </c>
      <c r="J37" s="62">
        <v>1</v>
      </c>
      <c r="K37" s="64">
        <v>10</v>
      </c>
      <c r="L37" s="62">
        <v>1</v>
      </c>
      <c r="M37" s="64">
        <v>39</v>
      </c>
      <c r="N37" s="62">
        <v>1</v>
      </c>
      <c r="O37" s="64">
        <v>9</v>
      </c>
      <c r="P37" s="62">
        <v>1</v>
      </c>
      <c r="Q37" s="64">
        <v>0</v>
      </c>
      <c r="R37" s="62"/>
      <c r="S37" s="64">
        <v>0</v>
      </c>
      <c r="T37" s="62"/>
      <c r="U37" s="64">
        <v>0</v>
      </c>
      <c r="V37" s="62"/>
      <c r="W37" s="64">
        <v>0</v>
      </c>
      <c r="X37" s="66"/>
    </row>
    <row r="38" spans="1:24">
      <c r="A38" s="23">
        <f>'ST-I'!A38</f>
        <v>230</v>
      </c>
      <c r="B38" s="17" t="str">
        <f>'ST-I'!B38</f>
        <v>SCT15CS030</v>
      </c>
      <c r="C38" s="24" t="str">
        <f>'ST-I'!C38</f>
        <v>J S MALINI</v>
      </c>
      <c r="D38" s="6"/>
      <c r="E38" s="64">
        <v>7</v>
      </c>
      <c r="F38" s="62">
        <v>1</v>
      </c>
      <c r="G38" s="64">
        <v>10</v>
      </c>
      <c r="H38" s="62">
        <v>1</v>
      </c>
      <c r="I38" s="64">
        <v>39</v>
      </c>
      <c r="J38" s="62">
        <v>1</v>
      </c>
      <c r="K38" s="64">
        <v>10</v>
      </c>
      <c r="L38" s="62">
        <v>1</v>
      </c>
      <c r="M38" s="64">
        <v>33</v>
      </c>
      <c r="N38" s="62">
        <v>1</v>
      </c>
      <c r="O38" s="64">
        <v>9</v>
      </c>
      <c r="P38" s="62">
        <v>1</v>
      </c>
      <c r="Q38" s="64">
        <v>0</v>
      </c>
      <c r="R38" s="62"/>
      <c r="S38" s="64">
        <v>0</v>
      </c>
      <c r="T38" s="62"/>
      <c r="U38" s="64">
        <v>0</v>
      </c>
      <c r="V38" s="62"/>
      <c r="W38" s="64">
        <v>0</v>
      </c>
      <c r="X38" s="66"/>
    </row>
    <row r="39" spans="1:24">
      <c r="A39" s="23">
        <f>'ST-I'!A39</f>
        <v>231</v>
      </c>
      <c r="B39" s="17" t="str">
        <f>'ST-I'!B39</f>
        <v>SCT15CS031</v>
      </c>
      <c r="C39" s="24" t="str">
        <f>'ST-I'!C39</f>
        <v>JEBBY JOSEPH</v>
      </c>
      <c r="D39" s="6"/>
      <c r="E39" s="64">
        <v>1</v>
      </c>
      <c r="F39" s="62">
        <v>0</v>
      </c>
      <c r="G39" s="64">
        <v>10</v>
      </c>
      <c r="H39" s="62">
        <v>1</v>
      </c>
      <c r="I39" s="64">
        <v>16</v>
      </c>
      <c r="J39" s="62">
        <v>0</v>
      </c>
      <c r="K39" s="64">
        <v>10</v>
      </c>
      <c r="L39" s="62">
        <v>1</v>
      </c>
      <c r="M39" s="64">
        <v>14</v>
      </c>
      <c r="N39" s="62">
        <v>0</v>
      </c>
      <c r="O39" s="64">
        <v>10</v>
      </c>
      <c r="P39" s="62">
        <v>1</v>
      </c>
      <c r="Q39" s="64">
        <v>0</v>
      </c>
      <c r="R39" s="62"/>
      <c r="S39" s="64">
        <v>0</v>
      </c>
      <c r="T39" s="62"/>
      <c r="U39" s="64">
        <v>0</v>
      </c>
      <c r="V39" s="62"/>
      <c r="W39" s="64">
        <v>0</v>
      </c>
      <c r="X39" s="66"/>
    </row>
    <row r="40" spans="1:24">
      <c r="A40" s="23">
        <f>'ST-I'!A40</f>
        <v>232</v>
      </c>
      <c r="B40" s="17" t="str">
        <f>'ST-I'!B40</f>
        <v>SCT15CS032</v>
      </c>
      <c r="C40" s="24" t="str">
        <f>'ST-I'!C40</f>
        <v>JISO K JOY</v>
      </c>
      <c r="D40" s="6"/>
      <c r="E40" s="64">
        <v>8</v>
      </c>
      <c r="F40" s="62">
        <v>1</v>
      </c>
      <c r="G40" s="64">
        <v>14</v>
      </c>
      <c r="H40" s="62">
        <v>1</v>
      </c>
      <c r="I40" s="64">
        <v>43</v>
      </c>
      <c r="J40" s="62">
        <v>1</v>
      </c>
      <c r="K40" s="64">
        <v>10</v>
      </c>
      <c r="L40" s="62">
        <v>1</v>
      </c>
      <c r="M40" s="64">
        <v>33</v>
      </c>
      <c r="N40" s="62">
        <v>1</v>
      </c>
      <c r="O40" s="64">
        <v>9</v>
      </c>
      <c r="P40" s="62">
        <v>1</v>
      </c>
      <c r="Q40" s="64">
        <v>0</v>
      </c>
      <c r="R40" s="62"/>
      <c r="S40" s="64">
        <v>0</v>
      </c>
      <c r="T40" s="62"/>
      <c r="U40" s="64">
        <v>0</v>
      </c>
      <c r="V40" s="62"/>
      <c r="W40" s="64">
        <v>0</v>
      </c>
      <c r="X40" s="66"/>
    </row>
    <row r="41" spans="1:24">
      <c r="A41" s="23">
        <f>'ST-I'!A41</f>
        <v>233</v>
      </c>
      <c r="B41" s="17" t="str">
        <f>'ST-I'!B41</f>
        <v>SCT15CS033</v>
      </c>
      <c r="C41" s="24" t="str">
        <f>'ST-I'!C41</f>
        <v>KANNAN K D P</v>
      </c>
      <c r="D41" s="6"/>
      <c r="E41" s="64">
        <v>6</v>
      </c>
      <c r="F41" s="62">
        <v>1</v>
      </c>
      <c r="G41" s="64">
        <v>18</v>
      </c>
      <c r="H41" s="62">
        <v>1</v>
      </c>
      <c r="I41" s="64">
        <v>49</v>
      </c>
      <c r="J41" s="62">
        <v>1</v>
      </c>
      <c r="K41" s="64">
        <v>10</v>
      </c>
      <c r="L41" s="62">
        <v>1</v>
      </c>
      <c r="M41" s="64">
        <v>33</v>
      </c>
      <c r="N41" s="62">
        <v>1</v>
      </c>
      <c r="O41" s="64">
        <v>9</v>
      </c>
      <c r="P41" s="62">
        <v>1</v>
      </c>
      <c r="Q41" s="64">
        <v>0</v>
      </c>
      <c r="R41" s="62"/>
      <c r="S41" s="64">
        <v>0</v>
      </c>
      <c r="T41" s="62"/>
      <c r="U41" s="64">
        <v>0</v>
      </c>
      <c r="V41" s="62"/>
      <c r="W41" s="64">
        <v>0</v>
      </c>
      <c r="X41" s="66"/>
    </row>
    <row r="42" spans="1:24">
      <c r="A42" s="23">
        <f>'ST-I'!A42</f>
        <v>234</v>
      </c>
      <c r="B42" s="17" t="str">
        <f>'ST-I'!B42</f>
        <v>SCT15CS034</v>
      </c>
      <c r="C42" s="24" t="str">
        <f>'ST-I'!C42</f>
        <v>KARTHIKA KRISHNA</v>
      </c>
      <c r="D42" s="6"/>
      <c r="E42" s="64">
        <v>7</v>
      </c>
      <c r="F42" s="62">
        <v>1</v>
      </c>
      <c r="G42" s="64">
        <v>12</v>
      </c>
      <c r="H42" s="62">
        <v>1</v>
      </c>
      <c r="I42" s="64">
        <v>40</v>
      </c>
      <c r="J42" s="62">
        <v>1</v>
      </c>
      <c r="K42" s="64">
        <v>10</v>
      </c>
      <c r="L42" s="62">
        <v>1</v>
      </c>
      <c r="M42" s="64">
        <v>32</v>
      </c>
      <c r="N42" s="62">
        <v>1</v>
      </c>
      <c r="O42" s="64">
        <v>9</v>
      </c>
      <c r="P42" s="62">
        <v>1</v>
      </c>
      <c r="Q42" s="64">
        <v>0</v>
      </c>
      <c r="R42" s="62"/>
      <c r="S42" s="64">
        <v>0</v>
      </c>
      <c r="T42" s="62"/>
      <c r="U42" s="64">
        <v>0</v>
      </c>
      <c r="V42" s="62"/>
      <c r="W42" s="64">
        <v>0</v>
      </c>
      <c r="X42" s="66"/>
    </row>
    <row r="43" spans="1:24">
      <c r="A43" s="23">
        <f>'ST-I'!A43</f>
        <v>235</v>
      </c>
      <c r="B43" s="17" t="str">
        <f>'ST-I'!B43</f>
        <v>SCT15CS035</v>
      </c>
      <c r="C43" s="24" t="str">
        <f>'ST-I'!C43</f>
        <v>KARTHIKA PRADEEP</v>
      </c>
      <c r="D43" s="6"/>
      <c r="E43" s="64">
        <v>7</v>
      </c>
      <c r="F43" s="62">
        <v>1</v>
      </c>
      <c r="G43" s="64">
        <v>10</v>
      </c>
      <c r="H43" s="62">
        <v>1</v>
      </c>
      <c r="I43" s="64">
        <v>44</v>
      </c>
      <c r="J43" s="62">
        <v>1</v>
      </c>
      <c r="K43" s="64">
        <v>10</v>
      </c>
      <c r="L43" s="62">
        <v>1</v>
      </c>
      <c r="M43" s="64">
        <v>26</v>
      </c>
      <c r="N43" s="62">
        <v>1</v>
      </c>
      <c r="O43" s="64">
        <v>10</v>
      </c>
      <c r="P43" s="62">
        <v>1</v>
      </c>
      <c r="Q43" s="64">
        <v>0</v>
      </c>
      <c r="R43" s="62"/>
      <c r="S43" s="64">
        <v>0</v>
      </c>
      <c r="T43" s="62"/>
      <c r="U43" s="64">
        <v>0</v>
      </c>
      <c r="V43" s="62"/>
      <c r="W43" s="64">
        <v>0</v>
      </c>
      <c r="X43" s="66"/>
    </row>
    <row r="44" spans="1:24">
      <c r="A44" s="23">
        <f>'ST-I'!A44</f>
        <v>236</v>
      </c>
      <c r="B44" s="17" t="str">
        <f>'ST-I'!B44</f>
        <v>SCT15CS036</v>
      </c>
      <c r="C44" s="24" t="str">
        <f>'ST-I'!C44</f>
        <v>KAVYA SHAJU</v>
      </c>
      <c r="D44" s="6"/>
      <c r="E44" s="64">
        <v>4</v>
      </c>
      <c r="F44" s="62">
        <v>1</v>
      </c>
      <c r="G44" s="64">
        <v>11</v>
      </c>
      <c r="H44" s="62">
        <v>1</v>
      </c>
      <c r="I44" s="64">
        <v>39</v>
      </c>
      <c r="J44" s="62">
        <v>1</v>
      </c>
      <c r="K44" s="64">
        <v>10</v>
      </c>
      <c r="L44" s="62">
        <v>1</v>
      </c>
      <c r="M44" s="64">
        <v>27</v>
      </c>
      <c r="N44" s="62">
        <v>1</v>
      </c>
      <c r="O44" s="64">
        <v>9</v>
      </c>
      <c r="P44" s="62">
        <v>1</v>
      </c>
      <c r="Q44" s="64">
        <v>0</v>
      </c>
      <c r="R44" s="62"/>
      <c r="S44" s="64">
        <v>0</v>
      </c>
      <c r="T44" s="62"/>
      <c r="U44" s="64">
        <v>0</v>
      </c>
      <c r="V44" s="62"/>
      <c r="W44" s="64">
        <v>0</v>
      </c>
      <c r="X44" s="66"/>
    </row>
    <row r="45" spans="1:24">
      <c r="A45" s="23">
        <f>'ST-I'!A45</f>
        <v>237</v>
      </c>
      <c r="B45" s="17" t="str">
        <f>'ST-I'!B45</f>
        <v>SCT15CS037</v>
      </c>
      <c r="C45" s="24" t="str">
        <f>'ST-I'!C45</f>
        <v>KRISHNA RAJ R</v>
      </c>
      <c r="D45" s="6"/>
      <c r="E45" s="64">
        <v>2</v>
      </c>
      <c r="F45" s="62">
        <v>0</v>
      </c>
      <c r="G45" s="64">
        <v>10</v>
      </c>
      <c r="H45" s="62">
        <v>1</v>
      </c>
      <c r="I45" s="64">
        <v>36</v>
      </c>
      <c r="J45" s="62">
        <v>1</v>
      </c>
      <c r="K45" s="64">
        <v>10</v>
      </c>
      <c r="L45" s="62">
        <v>1</v>
      </c>
      <c r="M45" s="64">
        <v>35</v>
      </c>
      <c r="N45" s="62">
        <v>1</v>
      </c>
      <c r="O45" s="64">
        <v>9</v>
      </c>
      <c r="P45" s="62">
        <v>1</v>
      </c>
      <c r="Q45" s="64">
        <v>0</v>
      </c>
      <c r="R45" s="62"/>
      <c r="S45" s="64">
        <v>0</v>
      </c>
      <c r="T45" s="62"/>
      <c r="U45" s="64">
        <v>0</v>
      </c>
      <c r="V45" s="62"/>
      <c r="W45" s="64">
        <v>0</v>
      </c>
      <c r="X45" s="66"/>
    </row>
    <row r="46" spans="1:24">
      <c r="A46" s="23">
        <f>'ST-I'!A46</f>
        <v>238</v>
      </c>
      <c r="B46" s="17" t="str">
        <f>'ST-I'!B46</f>
        <v>SCT15CS038</v>
      </c>
      <c r="C46" s="24" t="str">
        <f>'ST-I'!C46</f>
        <v>MAANASY P V</v>
      </c>
      <c r="D46" s="6"/>
      <c r="E46" s="64">
        <v>6</v>
      </c>
      <c r="F46" s="62">
        <v>1</v>
      </c>
      <c r="G46" s="64">
        <v>11</v>
      </c>
      <c r="H46" s="62">
        <v>1</v>
      </c>
      <c r="I46" s="64">
        <v>30</v>
      </c>
      <c r="J46" s="62">
        <v>1</v>
      </c>
      <c r="K46" s="64">
        <v>10</v>
      </c>
      <c r="L46" s="62">
        <v>1</v>
      </c>
      <c r="M46" s="64">
        <v>32</v>
      </c>
      <c r="N46" s="62">
        <v>1</v>
      </c>
      <c r="O46" s="64">
        <v>9</v>
      </c>
      <c r="P46" s="62">
        <v>1</v>
      </c>
      <c r="Q46" s="64">
        <v>0</v>
      </c>
      <c r="R46" s="62"/>
      <c r="S46" s="64">
        <v>0</v>
      </c>
      <c r="T46" s="62"/>
      <c r="U46" s="64">
        <v>0</v>
      </c>
      <c r="V46" s="62"/>
      <c r="W46" s="64">
        <v>0</v>
      </c>
      <c r="X46" s="66"/>
    </row>
    <row r="47" spans="1:24">
      <c r="A47" s="23">
        <f>'ST-I'!A47</f>
        <v>239</v>
      </c>
      <c r="B47" s="17" t="str">
        <f>'ST-I'!B47</f>
        <v>SCT15CS039</v>
      </c>
      <c r="C47" s="24" t="str">
        <f>'ST-I'!C47</f>
        <v>MIDHUNA VIJAYAKUMAR</v>
      </c>
      <c r="D47" s="6"/>
      <c r="E47" s="64">
        <v>2</v>
      </c>
      <c r="F47" s="62">
        <v>0</v>
      </c>
      <c r="G47" s="64">
        <v>10</v>
      </c>
      <c r="H47" s="62">
        <v>1</v>
      </c>
      <c r="I47" s="64">
        <v>29</v>
      </c>
      <c r="J47" s="62">
        <v>1</v>
      </c>
      <c r="K47" s="64">
        <v>10</v>
      </c>
      <c r="L47" s="62">
        <v>1</v>
      </c>
      <c r="M47" s="64">
        <v>28</v>
      </c>
      <c r="N47" s="62">
        <v>1</v>
      </c>
      <c r="O47" s="64">
        <v>9</v>
      </c>
      <c r="P47" s="62">
        <v>1</v>
      </c>
      <c r="Q47" s="64">
        <v>0</v>
      </c>
      <c r="R47" s="62"/>
      <c r="S47" s="64">
        <v>0</v>
      </c>
      <c r="T47" s="62"/>
      <c r="U47" s="64">
        <v>0</v>
      </c>
      <c r="V47" s="62"/>
      <c r="W47" s="64">
        <v>0</v>
      </c>
      <c r="X47" s="66"/>
    </row>
    <row r="48" spans="1:24">
      <c r="A48" s="23">
        <f>'ST-I'!A48</f>
        <v>240</v>
      </c>
      <c r="B48" s="17" t="str">
        <f>'ST-I'!B48</f>
        <v>SCT15CS040</v>
      </c>
      <c r="C48" s="24" t="str">
        <f>'ST-I'!C48</f>
        <v>MUHAMMAD T S</v>
      </c>
      <c r="D48" s="6"/>
      <c r="E48" s="64">
        <v>8</v>
      </c>
      <c r="F48" s="62">
        <v>1</v>
      </c>
      <c r="G48" s="64">
        <v>13</v>
      </c>
      <c r="H48" s="62">
        <v>1</v>
      </c>
      <c r="I48" s="64">
        <v>48</v>
      </c>
      <c r="J48" s="62">
        <v>1</v>
      </c>
      <c r="K48" s="64">
        <v>10</v>
      </c>
      <c r="L48" s="62">
        <v>1</v>
      </c>
      <c r="M48" s="64">
        <v>32</v>
      </c>
      <c r="N48" s="62">
        <v>1</v>
      </c>
      <c r="O48" s="64">
        <v>9</v>
      </c>
      <c r="P48" s="62">
        <v>1</v>
      </c>
      <c r="Q48" s="64">
        <v>0</v>
      </c>
      <c r="R48" s="62"/>
      <c r="S48" s="64">
        <v>0</v>
      </c>
      <c r="T48" s="62"/>
      <c r="U48" s="64">
        <v>0</v>
      </c>
      <c r="V48" s="62"/>
      <c r="W48" s="64">
        <v>0</v>
      </c>
      <c r="X48" s="66"/>
    </row>
    <row r="49" spans="1:24">
      <c r="A49" s="23">
        <f>'ST-I'!A49</f>
        <v>241</v>
      </c>
      <c r="B49" s="17" t="str">
        <f>'ST-I'!B49</f>
        <v>SCT15CS041</v>
      </c>
      <c r="C49" s="24" t="str">
        <f>'ST-I'!C49</f>
        <v>NEVIN BAIJU</v>
      </c>
      <c r="D49" s="6"/>
      <c r="E49" s="64">
        <v>1.5</v>
      </c>
      <c r="F49" s="62">
        <v>0</v>
      </c>
      <c r="G49" s="64">
        <v>12</v>
      </c>
      <c r="H49" s="62">
        <v>1</v>
      </c>
      <c r="I49" s="64">
        <v>45</v>
      </c>
      <c r="J49" s="62">
        <v>1</v>
      </c>
      <c r="K49" s="64">
        <v>10</v>
      </c>
      <c r="L49" s="62">
        <v>1</v>
      </c>
      <c r="M49" s="64">
        <v>33</v>
      </c>
      <c r="N49" s="62">
        <v>1</v>
      </c>
      <c r="O49" s="64">
        <v>10</v>
      </c>
      <c r="P49" s="62">
        <v>1</v>
      </c>
      <c r="Q49" s="64">
        <v>0</v>
      </c>
      <c r="R49" s="62"/>
      <c r="S49" s="64">
        <v>0</v>
      </c>
      <c r="T49" s="62"/>
      <c r="U49" s="64">
        <v>0</v>
      </c>
      <c r="V49" s="62"/>
      <c r="W49" s="64">
        <v>0</v>
      </c>
      <c r="X49" s="66"/>
    </row>
    <row r="50" spans="1:24">
      <c r="A50" s="23">
        <f>'ST-I'!A50</f>
        <v>242</v>
      </c>
      <c r="B50" s="17" t="str">
        <f>'ST-I'!B50</f>
        <v>SCT15CS042</v>
      </c>
      <c r="C50" s="24" t="str">
        <f>'ST-I'!C50</f>
        <v>NIRANJANA MADHAVAN THAMPI</v>
      </c>
      <c r="D50" s="6"/>
      <c r="E50" s="64">
        <v>2</v>
      </c>
      <c r="F50" s="62">
        <v>0</v>
      </c>
      <c r="G50" s="64">
        <v>12</v>
      </c>
      <c r="H50" s="62">
        <v>1</v>
      </c>
      <c r="I50" s="64">
        <v>40.5</v>
      </c>
      <c r="J50" s="62">
        <v>1</v>
      </c>
      <c r="K50" s="64">
        <v>10</v>
      </c>
      <c r="L50" s="62">
        <v>1</v>
      </c>
      <c r="M50" s="64">
        <v>26</v>
      </c>
      <c r="N50" s="62">
        <v>1</v>
      </c>
      <c r="O50" s="64">
        <v>10</v>
      </c>
      <c r="P50" s="62">
        <v>1</v>
      </c>
      <c r="Q50" s="64">
        <v>0</v>
      </c>
      <c r="R50" s="62"/>
      <c r="S50" s="64">
        <v>0</v>
      </c>
      <c r="T50" s="62"/>
      <c r="U50" s="64">
        <v>0</v>
      </c>
      <c r="V50" s="62"/>
      <c r="W50" s="64">
        <v>0</v>
      </c>
      <c r="X50" s="66"/>
    </row>
    <row r="51" spans="1:24">
      <c r="A51" s="23">
        <f>'ST-I'!A51</f>
        <v>243</v>
      </c>
      <c r="B51" s="17" t="str">
        <f>'ST-I'!B51</f>
        <v>SCT15CS043</v>
      </c>
      <c r="C51" s="24" t="str">
        <f>'ST-I'!C51</f>
        <v>PRASEETHA KRISHNA J</v>
      </c>
      <c r="D51" s="6"/>
      <c r="E51" s="64">
        <v>8</v>
      </c>
      <c r="F51" s="62">
        <v>1</v>
      </c>
      <c r="G51" s="64">
        <v>10</v>
      </c>
      <c r="H51" s="62">
        <v>1</v>
      </c>
      <c r="I51" s="64">
        <v>37</v>
      </c>
      <c r="J51" s="62">
        <v>1</v>
      </c>
      <c r="K51" s="64">
        <v>10</v>
      </c>
      <c r="L51" s="62">
        <v>1</v>
      </c>
      <c r="M51" s="64">
        <v>26.5</v>
      </c>
      <c r="N51" s="62">
        <v>1</v>
      </c>
      <c r="O51" s="64">
        <v>9</v>
      </c>
      <c r="P51" s="62">
        <v>1</v>
      </c>
      <c r="Q51" s="64">
        <v>0</v>
      </c>
      <c r="R51" s="62"/>
      <c r="S51" s="64">
        <v>0</v>
      </c>
      <c r="T51" s="62"/>
      <c r="U51" s="64">
        <v>0</v>
      </c>
      <c r="V51" s="62"/>
      <c r="W51" s="64">
        <v>0</v>
      </c>
      <c r="X51" s="66"/>
    </row>
    <row r="52" spans="1:24">
      <c r="A52" s="23">
        <f>'ST-I'!A52</f>
        <v>244</v>
      </c>
      <c r="B52" s="17" t="str">
        <f>'ST-I'!B52</f>
        <v>SCT15CS044</v>
      </c>
      <c r="C52" s="24" t="str">
        <f>'ST-I'!C52</f>
        <v>PRIYANKA GOVIND C V</v>
      </c>
      <c r="D52" s="6"/>
      <c r="E52" s="64">
        <v>5</v>
      </c>
      <c r="F52" s="62">
        <v>1</v>
      </c>
      <c r="G52" s="64">
        <v>13</v>
      </c>
      <c r="H52" s="62">
        <v>1</v>
      </c>
      <c r="I52" s="64">
        <v>49</v>
      </c>
      <c r="J52" s="62">
        <v>1</v>
      </c>
      <c r="K52" s="64">
        <v>10</v>
      </c>
      <c r="L52" s="62">
        <v>1</v>
      </c>
      <c r="M52" s="64">
        <v>32</v>
      </c>
      <c r="N52" s="62">
        <v>1</v>
      </c>
      <c r="O52" s="64">
        <v>9</v>
      </c>
      <c r="P52" s="62">
        <v>1</v>
      </c>
      <c r="Q52" s="64">
        <v>0</v>
      </c>
      <c r="R52" s="62"/>
      <c r="S52" s="64">
        <v>0</v>
      </c>
      <c r="T52" s="62"/>
      <c r="U52" s="64">
        <v>0</v>
      </c>
      <c r="V52" s="62"/>
      <c r="W52" s="64">
        <v>0</v>
      </c>
      <c r="X52" s="66"/>
    </row>
    <row r="53" spans="1:24">
      <c r="A53" s="23">
        <f>'ST-I'!A53</f>
        <v>245</v>
      </c>
      <c r="B53" s="17" t="str">
        <f>'ST-I'!B53</f>
        <v>SCT15CS045</v>
      </c>
      <c r="C53" s="24" t="str">
        <f>'ST-I'!C53</f>
        <v>R SREELAKSHMI</v>
      </c>
      <c r="D53" s="6"/>
      <c r="E53" s="64">
        <v>8</v>
      </c>
      <c r="F53" s="62">
        <v>1</v>
      </c>
      <c r="G53" s="64">
        <v>14</v>
      </c>
      <c r="H53" s="62">
        <v>1</v>
      </c>
      <c r="I53" s="64">
        <v>50</v>
      </c>
      <c r="J53" s="62">
        <v>1</v>
      </c>
      <c r="K53" s="64">
        <v>2</v>
      </c>
      <c r="L53" s="62">
        <v>0</v>
      </c>
      <c r="M53" s="64">
        <v>25</v>
      </c>
      <c r="N53" s="62">
        <v>1</v>
      </c>
      <c r="O53" s="64">
        <v>9</v>
      </c>
      <c r="P53" s="62">
        <v>1</v>
      </c>
      <c r="Q53" s="64">
        <v>0</v>
      </c>
      <c r="R53" s="62"/>
      <c r="S53" s="64">
        <v>0</v>
      </c>
      <c r="T53" s="62"/>
      <c r="U53" s="64">
        <v>0</v>
      </c>
      <c r="V53" s="62"/>
      <c r="W53" s="64">
        <v>0</v>
      </c>
      <c r="X53" s="66"/>
    </row>
    <row r="54" spans="1:24">
      <c r="A54" s="23">
        <f>'ST-I'!A54</f>
        <v>246</v>
      </c>
      <c r="B54" s="17" t="str">
        <f>'ST-I'!B54</f>
        <v>SCT15CS046</v>
      </c>
      <c r="C54" s="24" t="str">
        <f>'ST-I'!C54</f>
        <v>RAFIYA RAJESH S R</v>
      </c>
      <c r="D54" s="6"/>
      <c r="E54" s="64">
        <v>0</v>
      </c>
      <c r="F54" s="62">
        <v>0</v>
      </c>
      <c r="G54" s="64">
        <v>0</v>
      </c>
      <c r="H54" s="62">
        <v>0</v>
      </c>
      <c r="I54" s="64">
        <v>3</v>
      </c>
      <c r="J54" s="62">
        <v>0</v>
      </c>
      <c r="K54" s="64">
        <v>0</v>
      </c>
      <c r="L54" s="62">
        <v>0</v>
      </c>
      <c r="M54" s="64">
        <v>0</v>
      </c>
      <c r="N54" s="62">
        <v>0</v>
      </c>
      <c r="O54" s="64">
        <v>10</v>
      </c>
      <c r="P54" s="62">
        <v>1</v>
      </c>
      <c r="Q54" s="64">
        <v>0</v>
      </c>
      <c r="R54" s="62"/>
      <c r="S54" s="64">
        <v>0</v>
      </c>
      <c r="T54" s="62"/>
      <c r="U54" s="64">
        <v>0</v>
      </c>
      <c r="V54" s="62"/>
      <c r="W54" s="64">
        <v>0</v>
      </c>
      <c r="X54" s="66"/>
    </row>
    <row r="55" spans="1:24">
      <c r="A55" s="23">
        <f>'ST-I'!A55</f>
        <v>247</v>
      </c>
      <c r="B55" s="17" t="str">
        <f>'ST-I'!B55</f>
        <v>SCT15CS047</v>
      </c>
      <c r="C55" s="24" t="str">
        <f>'ST-I'!C55</f>
        <v>RAHUL S</v>
      </c>
      <c r="D55" s="6"/>
      <c r="E55" s="64">
        <v>0</v>
      </c>
      <c r="F55" s="62">
        <v>0</v>
      </c>
      <c r="G55" s="64">
        <v>0</v>
      </c>
      <c r="H55" s="62">
        <v>0</v>
      </c>
      <c r="I55" s="64">
        <v>0</v>
      </c>
      <c r="J55" s="62">
        <v>0</v>
      </c>
      <c r="K55" s="64">
        <v>0</v>
      </c>
      <c r="L55" s="62">
        <v>0</v>
      </c>
      <c r="M55" s="64">
        <v>0</v>
      </c>
      <c r="N55" s="62">
        <v>0</v>
      </c>
      <c r="O55" s="64">
        <v>0</v>
      </c>
      <c r="P55" s="62">
        <v>0</v>
      </c>
      <c r="Q55" s="64">
        <v>0</v>
      </c>
      <c r="R55" s="62"/>
      <c r="S55" s="64">
        <v>0</v>
      </c>
      <c r="T55" s="62"/>
      <c r="U55" s="64">
        <v>0</v>
      </c>
      <c r="V55" s="62"/>
      <c r="W55" s="64">
        <v>0</v>
      </c>
      <c r="X55" s="66"/>
    </row>
    <row r="56" spans="1:24">
      <c r="A56" s="23">
        <f>'ST-I'!A56</f>
        <v>248</v>
      </c>
      <c r="B56" s="17" t="str">
        <f>'ST-I'!B56</f>
        <v>SCT15CS048</v>
      </c>
      <c r="C56" s="24" t="str">
        <f>'ST-I'!C56</f>
        <v>RAKESH P</v>
      </c>
      <c r="D56" s="6"/>
      <c r="E56" s="64">
        <v>3</v>
      </c>
      <c r="F56" s="62">
        <v>0</v>
      </c>
      <c r="G56" s="64">
        <v>10</v>
      </c>
      <c r="H56" s="62">
        <v>1</v>
      </c>
      <c r="I56" s="64">
        <v>33.5</v>
      </c>
      <c r="J56" s="62">
        <v>1</v>
      </c>
      <c r="K56" s="64">
        <v>2</v>
      </c>
      <c r="L56" s="62">
        <v>0</v>
      </c>
      <c r="M56" s="64">
        <v>24</v>
      </c>
      <c r="N56" s="62">
        <v>1</v>
      </c>
      <c r="O56" s="64">
        <v>9</v>
      </c>
      <c r="P56" s="62">
        <v>1</v>
      </c>
      <c r="Q56" s="64">
        <v>0</v>
      </c>
      <c r="R56" s="62"/>
      <c r="S56" s="64">
        <v>0</v>
      </c>
      <c r="T56" s="62"/>
      <c r="U56" s="64">
        <v>0</v>
      </c>
      <c r="V56" s="62"/>
      <c r="W56" s="64">
        <v>0</v>
      </c>
      <c r="X56" s="66"/>
    </row>
    <row r="57" spans="1:24">
      <c r="A57" s="23">
        <f>'ST-I'!A57</f>
        <v>249</v>
      </c>
      <c r="B57" s="17" t="str">
        <f>'ST-I'!B57</f>
        <v>SCT15CS049</v>
      </c>
      <c r="C57" s="24" t="str">
        <f>'ST-I'!C57</f>
        <v>S SACHIN</v>
      </c>
      <c r="D57" s="6"/>
      <c r="E57" s="64">
        <v>4.5</v>
      </c>
      <c r="F57" s="62">
        <v>1</v>
      </c>
      <c r="G57" s="64">
        <v>12</v>
      </c>
      <c r="H57" s="62">
        <v>1</v>
      </c>
      <c r="I57" s="64">
        <v>44</v>
      </c>
      <c r="J57" s="62">
        <v>1</v>
      </c>
      <c r="K57" s="64">
        <v>2</v>
      </c>
      <c r="L57" s="62">
        <v>0</v>
      </c>
      <c r="M57" s="64">
        <v>21</v>
      </c>
      <c r="N57" s="62">
        <v>1</v>
      </c>
      <c r="O57" s="64">
        <v>5</v>
      </c>
      <c r="P57" s="62">
        <v>1</v>
      </c>
      <c r="Q57" s="64">
        <v>0</v>
      </c>
      <c r="R57" s="62"/>
      <c r="S57" s="64">
        <v>0</v>
      </c>
      <c r="T57" s="62"/>
      <c r="U57" s="64">
        <v>0</v>
      </c>
      <c r="V57" s="62"/>
      <c r="W57" s="64">
        <v>0</v>
      </c>
      <c r="X57" s="66"/>
    </row>
    <row r="58" spans="1:24">
      <c r="A58" s="23">
        <f>'ST-I'!A58</f>
        <v>250</v>
      </c>
      <c r="B58" s="17" t="str">
        <f>'ST-I'!B58</f>
        <v>SCT15CS050</v>
      </c>
      <c r="C58" s="24" t="str">
        <f>'ST-I'!C58</f>
        <v>S VIJAY VENKATESH</v>
      </c>
      <c r="D58" s="6"/>
      <c r="E58" s="64">
        <v>7</v>
      </c>
      <c r="F58" s="62">
        <v>1</v>
      </c>
      <c r="G58" s="64">
        <v>17</v>
      </c>
      <c r="H58" s="62">
        <v>1</v>
      </c>
      <c r="I58" s="64">
        <v>41</v>
      </c>
      <c r="J58" s="62">
        <v>1</v>
      </c>
      <c r="K58" s="64">
        <v>2</v>
      </c>
      <c r="L58" s="62">
        <v>0</v>
      </c>
      <c r="M58" s="64">
        <v>26</v>
      </c>
      <c r="N58" s="62">
        <v>1</v>
      </c>
      <c r="O58" s="64">
        <v>9</v>
      </c>
      <c r="P58" s="62">
        <v>1</v>
      </c>
      <c r="Q58" s="64">
        <v>0</v>
      </c>
      <c r="R58" s="62"/>
      <c r="S58" s="64">
        <v>0</v>
      </c>
      <c r="T58" s="62"/>
      <c r="U58" s="64">
        <v>0</v>
      </c>
      <c r="V58" s="62"/>
      <c r="W58" s="64">
        <v>0</v>
      </c>
      <c r="X58" s="66"/>
    </row>
    <row r="59" spans="1:24">
      <c r="A59" s="23">
        <f>'ST-I'!A59</f>
        <v>251</v>
      </c>
      <c r="B59" s="17" t="str">
        <f>'ST-I'!B59</f>
        <v>SCT15CS051</v>
      </c>
      <c r="C59" s="24" t="str">
        <f>'ST-I'!C59</f>
        <v>SAGAR ASHOK</v>
      </c>
      <c r="D59" s="6"/>
      <c r="E59" s="64">
        <v>1</v>
      </c>
      <c r="F59" s="62">
        <v>0</v>
      </c>
      <c r="G59" s="64">
        <v>10</v>
      </c>
      <c r="H59" s="62">
        <v>1</v>
      </c>
      <c r="I59" s="64">
        <v>34.5</v>
      </c>
      <c r="J59" s="62">
        <v>1</v>
      </c>
      <c r="K59" s="64">
        <v>2</v>
      </c>
      <c r="L59" s="62">
        <v>0</v>
      </c>
      <c r="M59" s="64">
        <v>14</v>
      </c>
      <c r="N59" s="62">
        <v>0</v>
      </c>
      <c r="O59" s="64">
        <v>10</v>
      </c>
      <c r="P59" s="62">
        <v>1</v>
      </c>
      <c r="Q59" s="64">
        <v>0</v>
      </c>
      <c r="R59" s="62"/>
      <c r="S59" s="64">
        <v>0</v>
      </c>
      <c r="T59" s="62"/>
      <c r="U59" s="64">
        <v>0</v>
      </c>
      <c r="V59" s="62"/>
      <c r="W59" s="64">
        <v>0</v>
      </c>
      <c r="X59" s="66"/>
    </row>
    <row r="60" spans="1:24">
      <c r="A60" s="23">
        <f>'ST-I'!A60</f>
        <v>252</v>
      </c>
      <c r="B60" s="17" t="str">
        <f>'ST-I'!B60</f>
        <v>SCT15CS052</v>
      </c>
      <c r="C60" s="24" t="str">
        <f>'ST-I'!C60</f>
        <v>SHEHAZ SHEFY</v>
      </c>
      <c r="D60" s="6"/>
      <c r="E60" s="64">
        <v>1.5</v>
      </c>
      <c r="F60" s="62">
        <v>0</v>
      </c>
      <c r="G60" s="64">
        <v>10</v>
      </c>
      <c r="H60" s="62">
        <v>1</v>
      </c>
      <c r="I60" s="64">
        <v>38.5</v>
      </c>
      <c r="J60" s="62">
        <v>1</v>
      </c>
      <c r="K60" s="64">
        <v>2</v>
      </c>
      <c r="L60" s="62">
        <v>0</v>
      </c>
      <c r="M60" s="64">
        <v>19</v>
      </c>
      <c r="N60" s="62">
        <v>0</v>
      </c>
      <c r="O60" s="64">
        <v>9</v>
      </c>
      <c r="P60" s="62">
        <v>1</v>
      </c>
      <c r="Q60" s="64">
        <v>0</v>
      </c>
      <c r="R60" s="62"/>
      <c r="S60" s="64">
        <v>0</v>
      </c>
      <c r="T60" s="62"/>
      <c r="U60" s="64">
        <v>0</v>
      </c>
      <c r="V60" s="62"/>
      <c r="W60" s="64">
        <v>0</v>
      </c>
      <c r="X60" s="66"/>
    </row>
    <row r="61" spans="1:24">
      <c r="A61" s="23">
        <f>'ST-I'!A61</f>
        <v>253</v>
      </c>
      <c r="B61" s="17" t="str">
        <f>'ST-I'!B61</f>
        <v>SCT15CS053</v>
      </c>
      <c r="C61" s="24" t="str">
        <f>'ST-I'!C61</f>
        <v>SHIBIN B SHAJI</v>
      </c>
      <c r="D61" s="6"/>
      <c r="E61" s="64">
        <v>3</v>
      </c>
      <c r="F61" s="62">
        <v>0</v>
      </c>
      <c r="G61" s="64">
        <v>6</v>
      </c>
      <c r="H61" s="62">
        <v>0</v>
      </c>
      <c r="I61" s="64">
        <v>30</v>
      </c>
      <c r="J61" s="62">
        <v>1</v>
      </c>
      <c r="K61" s="64">
        <v>3</v>
      </c>
      <c r="L61" s="62">
        <v>0</v>
      </c>
      <c r="M61" s="64">
        <v>13.5</v>
      </c>
      <c r="N61" s="62">
        <v>0</v>
      </c>
      <c r="O61" s="64">
        <v>9</v>
      </c>
      <c r="P61" s="62">
        <v>1</v>
      </c>
      <c r="Q61" s="64">
        <v>0</v>
      </c>
      <c r="R61" s="62"/>
      <c r="S61" s="64">
        <v>0</v>
      </c>
      <c r="T61" s="62"/>
      <c r="U61" s="64">
        <v>0</v>
      </c>
      <c r="V61" s="62"/>
      <c r="W61" s="64">
        <v>0</v>
      </c>
      <c r="X61" s="66"/>
    </row>
    <row r="62" spans="1:24">
      <c r="A62" s="23">
        <f>'ST-I'!A62</f>
        <v>254</v>
      </c>
      <c r="B62" s="17" t="str">
        <f>'ST-I'!B62</f>
        <v>SCT15CS054</v>
      </c>
      <c r="C62" s="24" t="str">
        <f>'ST-I'!C62</f>
        <v>SHRADHA MARIAM SANTHOSH</v>
      </c>
      <c r="D62" s="6"/>
      <c r="E62" s="64">
        <v>7</v>
      </c>
      <c r="F62" s="62">
        <v>1</v>
      </c>
      <c r="G62" s="64">
        <v>6</v>
      </c>
      <c r="H62" s="62">
        <v>0</v>
      </c>
      <c r="I62" s="64">
        <v>46</v>
      </c>
      <c r="J62" s="62">
        <v>1</v>
      </c>
      <c r="K62" s="64">
        <v>3</v>
      </c>
      <c r="L62" s="62">
        <v>0</v>
      </c>
      <c r="M62" s="64">
        <v>29</v>
      </c>
      <c r="N62" s="62">
        <v>1</v>
      </c>
      <c r="O62" s="64">
        <v>10</v>
      </c>
      <c r="P62" s="62">
        <v>1</v>
      </c>
      <c r="Q62" s="64">
        <v>0</v>
      </c>
      <c r="R62" s="62"/>
      <c r="S62" s="64">
        <v>0</v>
      </c>
      <c r="T62" s="62"/>
      <c r="U62" s="64">
        <v>0</v>
      </c>
      <c r="V62" s="62"/>
      <c r="W62" s="64">
        <v>0</v>
      </c>
      <c r="X62" s="66"/>
    </row>
    <row r="63" spans="1:24">
      <c r="A63" s="23">
        <f>'ST-I'!A63</f>
        <v>255</v>
      </c>
      <c r="B63" s="17" t="str">
        <f>'ST-I'!B63</f>
        <v>SCT15CS055</v>
      </c>
      <c r="C63" s="24" t="str">
        <f>'ST-I'!C63</f>
        <v>SIBI KOSHY</v>
      </c>
      <c r="D63" s="6"/>
      <c r="E63" s="64">
        <v>6</v>
      </c>
      <c r="F63" s="62">
        <v>1</v>
      </c>
      <c r="G63" s="64">
        <v>10</v>
      </c>
      <c r="H63" s="62">
        <v>1</v>
      </c>
      <c r="I63" s="64">
        <v>40</v>
      </c>
      <c r="J63" s="62">
        <v>1</v>
      </c>
      <c r="K63" s="64">
        <v>3</v>
      </c>
      <c r="L63" s="62">
        <v>0</v>
      </c>
      <c r="M63" s="64">
        <v>22</v>
      </c>
      <c r="N63" s="62">
        <v>1</v>
      </c>
      <c r="O63" s="64">
        <v>10</v>
      </c>
      <c r="P63" s="62">
        <v>1</v>
      </c>
      <c r="Q63" s="64">
        <v>0</v>
      </c>
      <c r="R63" s="62"/>
      <c r="S63" s="64">
        <v>0</v>
      </c>
      <c r="T63" s="62"/>
      <c r="U63" s="64">
        <v>0</v>
      </c>
      <c r="V63" s="62"/>
      <c r="W63" s="64">
        <v>0</v>
      </c>
      <c r="X63" s="66"/>
    </row>
    <row r="64" spans="1:24">
      <c r="A64" s="23">
        <f>'ST-I'!A64</f>
        <v>256</v>
      </c>
      <c r="B64" s="17" t="str">
        <f>'ST-I'!B64</f>
        <v>SCT15CS056</v>
      </c>
      <c r="C64" s="24" t="str">
        <f>'ST-I'!C64</f>
        <v>SIVAKRISHNAN S K</v>
      </c>
      <c r="D64" s="6"/>
      <c r="E64" s="64">
        <v>3</v>
      </c>
      <c r="F64" s="62">
        <v>0</v>
      </c>
      <c r="G64" s="64">
        <v>6</v>
      </c>
      <c r="H64" s="62">
        <v>0</v>
      </c>
      <c r="I64" s="64">
        <v>32.5</v>
      </c>
      <c r="J64" s="62">
        <v>1</v>
      </c>
      <c r="K64" s="64">
        <v>3</v>
      </c>
      <c r="L64" s="62">
        <v>0</v>
      </c>
      <c r="M64" s="64">
        <v>19</v>
      </c>
      <c r="N64" s="62">
        <v>0</v>
      </c>
      <c r="O64" s="64">
        <v>9</v>
      </c>
      <c r="P64" s="62">
        <v>1</v>
      </c>
      <c r="Q64" s="64">
        <v>0</v>
      </c>
      <c r="R64" s="62"/>
      <c r="S64" s="64">
        <v>0</v>
      </c>
      <c r="T64" s="62"/>
      <c r="U64" s="64">
        <v>0</v>
      </c>
      <c r="V64" s="62"/>
      <c r="W64" s="64">
        <v>0</v>
      </c>
      <c r="X64" s="66"/>
    </row>
    <row r="65" spans="1:24">
      <c r="A65" s="23">
        <f>'ST-I'!A65</f>
        <v>257</v>
      </c>
      <c r="B65" s="17" t="str">
        <f>'ST-I'!B65</f>
        <v>SCT15CS057</v>
      </c>
      <c r="C65" s="24" t="str">
        <f>'ST-I'!C65</f>
        <v>SREEDEV S B</v>
      </c>
      <c r="D65" s="6"/>
      <c r="E65" s="64">
        <v>6</v>
      </c>
      <c r="F65" s="62">
        <v>1</v>
      </c>
      <c r="G65" s="64">
        <v>8</v>
      </c>
      <c r="H65" s="62">
        <v>0</v>
      </c>
      <c r="I65" s="64">
        <v>34.5</v>
      </c>
      <c r="J65" s="62">
        <v>1</v>
      </c>
      <c r="K65" s="64">
        <v>2</v>
      </c>
      <c r="L65" s="62">
        <v>0</v>
      </c>
      <c r="M65" s="64">
        <v>20</v>
      </c>
      <c r="N65" s="62">
        <v>1</v>
      </c>
      <c r="O65" s="64">
        <v>9</v>
      </c>
      <c r="P65" s="62">
        <v>1</v>
      </c>
      <c r="Q65" s="64">
        <v>0</v>
      </c>
      <c r="R65" s="62"/>
      <c r="S65" s="64">
        <v>0</v>
      </c>
      <c r="T65" s="62"/>
      <c r="U65" s="64">
        <v>0</v>
      </c>
      <c r="V65" s="62"/>
      <c r="W65" s="64">
        <v>0</v>
      </c>
      <c r="X65" s="66"/>
    </row>
    <row r="66" spans="1:24">
      <c r="A66" s="23">
        <f>'ST-I'!A66</f>
        <v>258</v>
      </c>
      <c r="B66" s="17" t="str">
        <f>'ST-I'!B66</f>
        <v>SCT15CS058</v>
      </c>
      <c r="C66" s="24">
        <f>'ST-I'!C66</f>
        <v>0</v>
      </c>
      <c r="D66" s="6"/>
      <c r="E66" s="64">
        <v>0</v>
      </c>
      <c r="F66" s="62">
        <v>0</v>
      </c>
      <c r="G66" s="64">
        <v>0</v>
      </c>
      <c r="H66" s="62">
        <v>0</v>
      </c>
      <c r="I66" s="64">
        <v>0</v>
      </c>
      <c r="J66" s="62">
        <v>0</v>
      </c>
      <c r="K66" s="64">
        <v>0</v>
      </c>
      <c r="L66" s="62">
        <v>0</v>
      </c>
      <c r="M66" s="64">
        <v>0</v>
      </c>
      <c r="N66" s="62">
        <v>0</v>
      </c>
      <c r="O66" s="64">
        <v>0</v>
      </c>
      <c r="P66" s="62">
        <v>0</v>
      </c>
      <c r="Q66" s="64">
        <v>0</v>
      </c>
      <c r="R66" s="62"/>
      <c r="S66" s="64">
        <v>0</v>
      </c>
      <c r="T66" s="62"/>
      <c r="U66" s="64">
        <v>0</v>
      </c>
      <c r="V66" s="62"/>
      <c r="W66" s="64">
        <v>0</v>
      </c>
      <c r="X66" s="66"/>
    </row>
    <row r="67" spans="1:24">
      <c r="A67" s="23">
        <f>'ST-I'!A67</f>
        <v>259</v>
      </c>
      <c r="B67" s="17" t="str">
        <f>'ST-I'!B67</f>
        <v>SCT15CS059</v>
      </c>
      <c r="C67" s="24" t="str">
        <f>'ST-I'!C67</f>
        <v>TASNEEM ABDULKADER SHAJILABEEVI</v>
      </c>
      <c r="D67" s="6"/>
      <c r="E67" s="64">
        <v>3</v>
      </c>
      <c r="F67" s="62">
        <v>0</v>
      </c>
      <c r="G67" s="64">
        <v>5</v>
      </c>
      <c r="H67" s="62">
        <v>0</v>
      </c>
      <c r="I67" s="64">
        <v>28</v>
      </c>
      <c r="J67" s="62">
        <v>1</v>
      </c>
      <c r="K67" s="64">
        <v>2</v>
      </c>
      <c r="L67" s="62">
        <v>0</v>
      </c>
      <c r="M67" s="64">
        <v>20</v>
      </c>
      <c r="N67" s="62">
        <v>1</v>
      </c>
      <c r="O67" s="64">
        <v>9</v>
      </c>
      <c r="P67" s="62">
        <v>1</v>
      </c>
      <c r="Q67" s="64">
        <v>0</v>
      </c>
      <c r="R67" s="62"/>
      <c r="S67" s="64">
        <v>0</v>
      </c>
      <c r="T67" s="62"/>
      <c r="U67" s="64">
        <v>0</v>
      </c>
      <c r="V67" s="62"/>
      <c r="W67" s="64">
        <v>0</v>
      </c>
      <c r="X67" s="66"/>
    </row>
    <row r="68" spans="1:24">
      <c r="A68" s="23">
        <f>'ST-I'!A68</f>
        <v>260</v>
      </c>
      <c r="B68" s="17" t="str">
        <f>'ST-I'!B68</f>
        <v>SCT15CS060</v>
      </c>
      <c r="C68" s="24" t="str">
        <f>'ST-I'!C68</f>
        <v>VENI S</v>
      </c>
      <c r="D68" s="6"/>
      <c r="E68" s="64">
        <v>6</v>
      </c>
      <c r="F68" s="62">
        <v>1</v>
      </c>
      <c r="G68" s="64">
        <v>5</v>
      </c>
      <c r="H68" s="62">
        <v>0</v>
      </c>
      <c r="I68" s="64">
        <v>40</v>
      </c>
      <c r="J68" s="62">
        <v>1</v>
      </c>
      <c r="K68" s="64">
        <v>2</v>
      </c>
      <c r="L68" s="62">
        <v>0</v>
      </c>
      <c r="M68" s="64">
        <v>27</v>
      </c>
      <c r="N68" s="62">
        <v>1</v>
      </c>
      <c r="O68" s="64">
        <v>9</v>
      </c>
      <c r="P68" s="62">
        <v>1</v>
      </c>
      <c r="Q68" s="64">
        <v>0</v>
      </c>
      <c r="R68" s="62"/>
      <c r="S68" s="64">
        <v>0</v>
      </c>
      <c r="T68" s="62"/>
      <c r="U68" s="64">
        <v>0</v>
      </c>
      <c r="V68" s="62"/>
      <c r="W68" s="64">
        <v>0</v>
      </c>
      <c r="X68" s="66"/>
    </row>
    <row r="69" spans="1:24">
      <c r="A69" s="23">
        <f>'ST-I'!A69</f>
        <v>261</v>
      </c>
      <c r="B69" s="17" t="str">
        <f>'ST-I'!B69</f>
        <v>SCT15CS061</v>
      </c>
      <c r="C69" s="24" t="str">
        <f>'ST-I'!C69</f>
        <v>VISAKH V NAIR</v>
      </c>
      <c r="D69" s="6"/>
      <c r="E69" s="64">
        <v>2</v>
      </c>
      <c r="F69" s="62">
        <v>0</v>
      </c>
      <c r="G69" s="64">
        <v>5</v>
      </c>
      <c r="H69" s="62">
        <v>0</v>
      </c>
      <c r="I69" s="64">
        <v>22.5</v>
      </c>
      <c r="J69" s="62">
        <v>0</v>
      </c>
      <c r="K69" s="64">
        <v>2</v>
      </c>
      <c r="L69" s="62">
        <v>0</v>
      </c>
      <c r="M69" s="64">
        <v>12</v>
      </c>
      <c r="N69" s="62">
        <v>0</v>
      </c>
      <c r="O69" s="64">
        <v>9</v>
      </c>
      <c r="P69" s="62">
        <v>1</v>
      </c>
      <c r="Q69" s="64">
        <v>0</v>
      </c>
      <c r="R69" s="62"/>
      <c r="S69" s="64">
        <v>0</v>
      </c>
      <c r="T69" s="62"/>
      <c r="U69" s="64">
        <v>0</v>
      </c>
      <c r="V69" s="62"/>
      <c r="W69" s="64">
        <v>0</v>
      </c>
      <c r="X69" s="66"/>
    </row>
    <row r="70" spans="1:24">
      <c r="A70" s="23">
        <f>'ST-I'!A70</f>
        <v>262</v>
      </c>
      <c r="B70" s="17" t="str">
        <f>'ST-I'!B70</f>
        <v>SCT15CS062</v>
      </c>
      <c r="C70" s="24" t="str">
        <f>'ST-I'!C70</f>
        <v>VISHNU A K</v>
      </c>
      <c r="D70" s="6"/>
      <c r="E70" s="64">
        <v>5</v>
      </c>
      <c r="F70" s="62">
        <v>1</v>
      </c>
      <c r="G70" s="64">
        <v>9</v>
      </c>
      <c r="H70" s="62">
        <v>0</v>
      </c>
      <c r="I70" s="64">
        <v>46</v>
      </c>
      <c r="J70" s="62">
        <v>1</v>
      </c>
      <c r="K70" s="64">
        <v>3</v>
      </c>
      <c r="L70" s="62">
        <v>0</v>
      </c>
      <c r="M70" s="64">
        <v>22</v>
      </c>
      <c r="N70" s="62">
        <v>1</v>
      </c>
      <c r="O70" s="64">
        <v>10</v>
      </c>
      <c r="P70" s="62">
        <v>1</v>
      </c>
      <c r="Q70" s="64">
        <v>0</v>
      </c>
      <c r="R70" s="62"/>
      <c r="S70" s="64">
        <v>0</v>
      </c>
      <c r="T70" s="62"/>
      <c r="U70" s="64">
        <v>0</v>
      </c>
      <c r="V70" s="62"/>
      <c r="W70" s="64">
        <v>0</v>
      </c>
      <c r="X70" s="66"/>
    </row>
    <row r="71" spans="1:24">
      <c r="A71" s="23">
        <f>'ST-I'!A71</f>
        <v>263</v>
      </c>
      <c r="B71" s="17" t="str">
        <f>'ST-I'!B71</f>
        <v>SCT15CS063</v>
      </c>
      <c r="C71" s="24" t="str">
        <f>'ST-I'!C71</f>
        <v>VYSHNAVI S</v>
      </c>
      <c r="D71" s="6"/>
      <c r="E71" s="64">
        <v>5</v>
      </c>
      <c r="F71" s="62">
        <v>1</v>
      </c>
      <c r="G71" s="64">
        <v>6</v>
      </c>
      <c r="H71" s="62">
        <v>0</v>
      </c>
      <c r="I71" s="64">
        <v>20.5</v>
      </c>
      <c r="J71" s="62">
        <v>0</v>
      </c>
      <c r="K71" s="64">
        <v>3</v>
      </c>
      <c r="L71" s="62">
        <v>0</v>
      </c>
      <c r="M71" s="64">
        <v>29</v>
      </c>
      <c r="N71" s="62">
        <v>1</v>
      </c>
      <c r="O71" s="64">
        <v>9</v>
      </c>
      <c r="P71" s="62">
        <v>1</v>
      </c>
      <c r="Q71" s="64">
        <v>0</v>
      </c>
      <c r="R71" s="62"/>
      <c r="S71" s="64">
        <v>0</v>
      </c>
      <c r="T71" s="62"/>
      <c r="U71" s="64">
        <v>0</v>
      </c>
      <c r="V71" s="62"/>
      <c r="W71" s="64">
        <v>0</v>
      </c>
      <c r="X71" s="66"/>
    </row>
    <row r="72" spans="1:24">
      <c r="A72" s="23">
        <f>'ST-I'!A72</f>
        <v>264</v>
      </c>
      <c r="B72" s="17" t="str">
        <f>'ST-I'!B72</f>
        <v>SCT15CS064</v>
      </c>
      <c r="C72" s="24" t="str">
        <f>'ST-I'!C72</f>
        <v>ABU THAHIR KM</v>
      </c>
      <c r="D72" s="35"/>
      <c r="E72" s="64">
        <v>0</v>
      </c>
      <c r="F72" s="62">
        <v>0</v>
      </c>
      <c r="G72" s="64">
        <v>0</v>
      </c>
      <c r="H72" s="62">
        <v>0</v>
      </c>
      <c r="I72" s="64">
        <v>0</v>
      </c>
      <c r="J72" s="62">
        <v>0</v>
      </c>
      <c r="K72" s="64">
        <v>0</v>
      </c>
      <c r="L72" s="62">
        <v>0</v>
      </c>
      <c r="M72" s="64">
        <v>0</v>
      </c>
      <c r="N72" s="62">
        <v>0</v>
      </c>
      <c r="O72" s="64">
        <v>0</v>
      </c>
      <c r="P72" s="62">
        <v>0</v>
      </c>
      <c r="Q72" s="64">
        <v>0</v>
      </c>
      <c r="R72" s="62"/>
      <c r="S72" s="64">
        <v>0</v>
      </c>
      <c r="T72" s="62"/>
      <c r="U72" s="64">
        <v>0</v>
      </c>
      <c r="V72" s="62"/>
      <c r="W72" s="64">
        <v>0</v>
      </c>
      <c r="X72" s="66"/>
    </row>
    <row r="73" spans="1:24">
      <c r="A73" s="23">
        <f>'ST-I'!A73</f>
        <v>265</v>
      </c>
      <c r="B73" s="17" t="str">
        <f>'ST-I'!B73</f>
        <v>SCT15CS065</v>
      </c>
      <c r="C73" s="24" t="str">
        <f>'ST-I'!C73</f>
        <v>ARUN S BABU</v>
      </c>
      <c r="D73" s="35"/>
      <c r="E73" s="64">
        <v>1</v>
      </c>
      <c r="F73" s="62">
        <v>0</v>
      </c>
      <c r="G73" s="64">
        <v>6</v>
      </c>
      <c r="H73" s="62">
        <v>0</v>
      </c>
      <c r="I73" s="64">
        <v>16</v>
      </c>
      <c r="J73" s="62">
        <v>0</v>
      </c>
      <c r="K73" s="64">
        <v>3</v>
      </c>
      <c r="L73" s="62">
        <v>0</v>
      </c>
      <c r="M73" s="64">
        <v>16</v>
      </c>
      <c r="N73" s="62">
        <v>0</v>
      </c>
      <c r="O73" s="64">
        <v>9</v>
      </c>
      <c r="P73" s="62">
        <v>1</v>
      </c>
      <c r="Q73" s="64">
        <v>0</v>
      </c>
      <c r="R73" s="62"/>
      <c r="S73" s="64">
        <v>0</v>
      </c>
      <c r="T73" s="62"/>
      <c r="U73" s="64">
        <v>0</v>
      </c>
      <c r="V73" s="62"/>
      <c r="W73" s="64">
        <v>0</v>
      </c>
      <c r="X73" s="66"/>
    </row>
    <row r="74" spans="1:24">
      <c r="A74" s="23">
        <f>'ST-I'!A74</f>
        <v>266</v>
      </c>
      <c r="B74" s="17" t="str">
        <f>'ST-I'!B74</f>
        <v>SCT15CS066</v>
      </c>
      <c r="C74" s="24" t="str">
        <f>'ST-I'!C74</f>
        <v>SUBINA C K</v>
      </c>
      <c r="D74" s="35"/>
      <c r="E74" s="64"/>
      <c r="F74" s="62"/>
      <c r="G74" s="64"/>
      <c r="H74" s="62"/>
      <c r="I74" s="64"/>
      <c r="J74" s="62"/>
      <c r="K74" s="64"/>
      <c r="L74" s="62"/>
      <c r="M74" s="64"/>
      <c r="N74" s="62"/>
      <c r="O74" s="64"/>
      <c r="P74" s="62"/>
      <c r="Q74" s="64"/>
      <c r="R74" s="62"/>
      <c r="S74" s="64"/>
      <c r="T74" s="62"/>
      <c r="U74" s="64"/>
      <c r="V74" s="62"/>
      <c r="W74" s="64">
        <v>0</v>
      </c>
      <c r="X74" s="66"/>
    </row>
    <row r="75" spans="1:24">
      <c r="A75" s="23">
        <f>'ST-I'!A76</f>
        <v>0</v>
      </c>
      <c r="B75" s="31"/>
      <c r="C75" s="24">
        <f>'ST-I'!C75</f>
        <v>0</v>
      </c>
      <c r="D75" s="35"/>
      <c r="E75" s="64"/>
      <c r="F75" s="62"/>
      <c r="G75" s="64"/>
      <c r="H75" s="62"/>
      <c r="I75" s="64"/>
      <c r="J75" s="62"/>
      <c r="K75" s="64"/>
      <c r="L75" s="62"/>
      <c r="M75" s="64"/>
      <c r="N75" s="62"/>
      <c r="O75" s="64"/>
      <c r="P75" s="62"/>
      <c r="Q75" s="64"/>
      <c r="R75" s="62"/>
      <c r="S75" s="64"/>
      <c r="T75" s="62"/>
      <c r="U75" s="64"/>
      <c r="V75" s="62"/>
      <c r="W75" s="64"/>
      <c r="X75" s="66"/>
    </row>
    <row r="76" spans="1:24">
      <c r="A76" s="23">
        <f>'ST-I'!A77</f>
        <v>0</v>
      </c>
      <c r="B76" s="31"/>
      <c r="C76" s="24">
        <f>'ST-I'!C76</f>
        <v>0</v>
      </c>
      <c r="D76" s="35"/>
      <c r="E76" s="64"/>
      <c r="F76" s="62"/>
      <c r="G76" s="64"/>
      <c r="H76" s="62"/>
      <c r="I76" s="64"/>
      <c r="J76" s="62"/>
      <c r="K76" s="64"/>
      <c r="L76" s="62"/>
      <c r="M76" s="64"/>
      <c r="N76" s="62"/>
      <c r="O76" s="64"/>
      <c r="P76" s="62"/>
      <c r="Q76" s="64"/>
      <c r="R76" s="62"/>
      <c r="S76" s="64"/>
      <c r="T76" s="62"/>
      <c r="U76" s="64"/>
      <c r="V76" s="62"/>
      <c r="W76" s="64"/>
      <c r="X76" s="66"/>
    </row>
    <row r="77" spans="1:24">
      <c r="A77" s="23" t="e">
        <f>'ST-I'!#REF!</f>
        <v>#REF!</v>
      </c>
      <c r="B77" s="43"/>
      <c r="C77" s="24">
        <f>'ST-I'!C77</f>
        <v>0</v>
      </c>
      <c r="D77" s="35"/>
      <c r="E77" s="64"/>
      <c r="F77" s="62"/>
      <c r="G77" s="64"/>
      <c r="H77" s="62"/>
      <c r="I77" s="64"/>
      <c r="J77" s="62"/>
      <c r="K77" s="64"/>
      <c r="L77" s="62"/>
      <c r="M77" s="64"/>
      <c r="N77" s="62"/>
      <c r="O77" s="64"/>
      <c r="P77" s="62"/>
      <c r="Q77" s="64"/>
      <c r="R77" s="62"/>
      <c r="S77" s="64"/>
      <c r="T77" s="62"/>
      <c r="U77" s="64"/>
      <c r="V77" s="62"/>
      <c r="W77" s="64"/>
      <c r="X77" s="66"/>
    </row>
    <row r="78" spans="1:24">
      <c r="A78" s="23">
        <f>'ST-I'!A78</f>
        <v>0</v>
      </c>
      <c r="B78" s="35"/>
      <c r="C78" s="24">
        <f>'ST-I'!C78</f>
        <v>0</v>
      </c>
      <c r="D78" s="35"/>
      <c r="E78" s="64"/>
      <c r="F78" s="62"/>
      <c r="G78" s="64"/>
      <c r="H78" s="62"/>
      <c r="I78" s="64"/>
      <c r="J78" s="62"/>
      <c r="K78" s="64"/>
      <c r="L78" s="62"/>
      <c r="M78" s="64"/>
      <c r="N78" s="62"/>
      <c r="O78" s="64"/>
      <c r="P78" s="62"/>
      <c r="Q78" s="64"/>
      <c r="R78" s="62"/>
      <c r="S78" s="64"/>
      <c r="T78" s="62"/>
      <c r="U78" s="64"/>
      <c r="V78" s="62"/>
      <c r="W78" s="64"/>
      <c r="X78" s="66"/>
    </row>
    <row r="79" spans="1:24">
      <c r="A79" s="23">
        <f>'ST-I'!A79</f>
        <v>0</v>
      </c>
      <c r="B79" s="35"/>
      <c r="C79" s="24">
        <f>'ST-I'!C79</f>
        <v>0</v>
      </c>
      <c r="D79" s="35"/>
      <c r="E79" s="64"/>
      <c r="F79" s="62"/>
      <c r="G79" s="64"/>
      <c r="H79" s="62"/>
      <c r="I79" s="64"/>
      <c r="J79" s="62"/>
      <c r="K79" s="64"/>
      <c r="L79" s="62"/>
      <c r="M79" s="64"/>
      <c r="N79" s="62"/>
      <c r="O79" s="64"/>
      <c r="P79" s="62"/>
      <c r="Q79" s="64"/>
      <c r="R79" s="62"/>
      <c r="S79" s="64"/>
      <c r="T79" s="62"/>
      <c r="U79" s="64"/>
      <c r="V79" s="62"/>
      <c r="W79" s="64"/>
      <c r="X79" s="66"/>
    </row>
    <row r="80" spans="1:24">
      <c r="A80" s="23">
        <f>'ST-I'!A80</f>
        <v>0</v>
      </c>
      <c r="B80" s="35"/>
      <c r="C80" s="24">
        <f>'ST-I'!C80</f>
        <v>0</v>
      </c>
      <c r="D80" s="35"/>
      <c r="E80" s="64"/>
      <c r="F80" s="62"/>
      <c r="G80" s="64"/>
      <c r="H80" s="62"/>
      <c r="I80" s="64"/>
      <c r="J80" s="62"/>
      <c r="K80" s="64"/>
      <c r="L80" s="62"/>
      <c r="M80" s="64"/>
      <c r="N80" s="62"/>
      <c r="O80" s="64"/>
      <c r="P80" s="62"/>
      <c r="Q80" s="64"/>
      <c r="R80" s="62"/>
      <c r="S80" s="64"/>
      <c r="T80" s="62"/>
      <c r="U80" s="64"/>
      <c r="V80" s="62"/>
      <c r="W80" s="64"/>
      <c r="X80" s="66"/>
    </row>
    <row r="81" spans="1:24">
      <c r="A81" s="23">
        <f>'ST-I'!A81</f>
        <v>0</v>
      </c>
      <c r="B81" s="35"/>
      <c r="C81" s="24">
        <f>'ST-I'!C81</f>
        <v>0</v>
      </c>
      <c r="D81" s="35"/>
      <c r="E81" s="64"/>
      <c r="F81" s="62"/>
      <c r="G81" s="64"/>
      <c r="H81" s="62"/>
      <c r="I81" s="64"/>
      <c r="J81" s="62"/>
      <c r="K81" s="64"/>
      <c r="L81" s="62"/>
      <c r="M81" s="64"/>
      <c r="N81" s="62"/>
      <c r="O81" s="64"/>
      <c r="P81" s="62"/>
      <c r="Q81" s="64"/>
      <c r="R81" s="62"/>
      <c r="S81" s="64"/>
      <c r="T81" s="62"/>
      <c r="U81" s="64"/>
      <c r="V81" s="62"/>
      <c r="W81" s="64"/>
      <c r="X81" s="66"/>
    </row>
    <row r="82" spans="1:24">
      <c r="A82" s="157" t="s">
        <v>73</v>
      </c>
      <c r="B82" s="157"/>
      <c r="C82" s="157"/>
      <c r="D82" s="157"/>
      <c r="E82" s="70"/>
      <c r="F82" s="70">
        <v>1</v>
      </c>
      <c r="G82" s="70"/>
      <c r="H82" s="70">
        <v>0</v>
      </c>
      <c r="I82" s="70"/>
      <c r="J82" s="70">
        <v>2</v>
      </c>
      <c r="K82" s="70"/>
      <c r="L82" s="70">
        <v>0</v>
      </c>
      <c r="M82" s="70"/>
      <c r="N82" s="70">
        <v>1</v>
      </c>
      <c r="O82" s="70"/>
      <c r="P82" s="70">
        <v>3</v>
      </c>
      <c r="Q82" s="70"/>
      <c r="R82" s="70">
        <v>3</v>
      </c>
      <c r="S82" s="70"/>
      <c r="T82" s="70">
        <v>0</v>
      </c>
      <c r="U82" s="70"/>
      <c r="V82" s="70">
        <v>0</v>
      </c>
      <c r="W82" s="70"/>
      <c r="X82" s="71">
        <v>0</v>
      </c>
    </row>
    <row r="83" spans="1:24">
      <c r="A83" s="162" t="s">
        <v>72</v>
      </c>
      <c r="B83" s="162"/>
      <c r="C83" s="162"/>
      <c r="D83" s="162"/>
      <c r="E83" s="103"/>
      <c r="F83" s="103">
        <v>40</v>
      </c>
      <c r="G83" s="103"/>
      <c r="H83" s="103">
        <v>37</v>
      </c>
      <c r="I83" s="103"/>
      <c r="J83" s="103">
        <v>50</v>
      </c>
      <c r="K83" s="103"/>
      <c r="L83" s="103">
        <v>24</v>
      </c>
      <c r="M83" s="103"/>
      <c r="N83" s="103">
        <v>45</v>
      </c>
      <c r="O83" s="103"/>
      <c r="P83" s="103">
        <v>61</v>
      </c>
      <c r="Q83" s="103"/>
      <c r="R83" s="103">
        <v>24</v>
      </c>
      <c r="S83" s="103"/>
      <c r="T83" s="103"/>
      <c r="U83" s="103"/>
      <c r="V83" s="103"/>
      <c r="W83" s="103"/>
      <c r="X83" s="104"/>
    </row>
    <row r="84" spans="1:24">
      <c r="A84" s="161" t="s">
        <v>71</v>
      </c>
      <c r="B84" s="161"/>
      <c r="C84" s="161"/>
      <c r="D84" s="161"/>
      <c r="E84" s="105"/>
      <c r="F84" s="105">
        <v>0.61538461538461542</v>
      </c>
      <c r="G84" s="105"/>
      <c r="H84" s="105">
        <v>0.56923076923076921</v>
      </c>
      <c r="I84" s="105"/>
      <c r="J84" s="105">
        <v>0.76923076923076927</v>
      </c>
      <c r="K84" s="105"/>
      <c r="L84" s="105">
        <v>0.36923076923076925</v>
      </c>
      <c r="M84" s="105"/>
      <c r="N84" s="105">
        <v>0.69230769230769229</v>
      </c>
      <c r="O84" s="105"/>
      <c r="P84" s="105">
        <v>0.93846153846153846</v>
      </c>
      <c r="Q84" s="105"/>
      <c r="R84" s="105">
        <v>1</v>
      </c>
      <c r="S84" s="105"/>
      <c r="T84" s="105"/>
      <c r="U84" s="105"/>
      <c r="V84" s="105"/>
      <c r="W84" s="105"/>
      <c r="X84" s="106"/>
    </row>
    <row r="85" spans="1:24">
      <c r="A85" s="160" t="s">
        <v>70</v>
      </c>
      <c r="B85" s="160"/>
      <c r="C85" s="160"/>
      <c r="D85" s="160"/>
      <c r="E85" s="163">
        <v>0.65897435897435896</v>
      </c>
      <c r="F85" s="164"/>
      <c r="G85" s="164"/>
      <c r="H85" s="164"/>
      <c r="I85" s="164"/>
      <c r="J85" s="164"/>
      <c r="K85" s="164"/>
      <c r="L85" s="164"/>
      <c r="M85" s="164"/>
      <c r="N85" s="164"/>
      <c r="O85" s="164"/>
      <c r="P85" s="164"/>
      <c r="Q85" s="164"/>
      <c r="R85" s="164"/>
      <c r="S85" s="164"/>
      <c r="T85" s="164"/>
      <c r="U85" s="164"/>
      <c r="V85" s="164"/>
      <c r="W85" s="164"/>
      <c r="X85" s="165"/>
    </row>
    <row r="86" spans="1:24">
      <c r="A86" s="166" t="s">
        <v>74</v>
      </c>
      <c r="B86" s="166"/>
      <c r="C86" s="166"/>
      <c r="D86" s="166"/>
      <c r="E86" s="166">
        <v>1</v>
      </c>
      <c r="F86" s="166"/>
      <c r="G86" s="166"/>
      <c r="H86" s="166"/>
      <c r="I86" s="166"/>
      <c r="J86" s="166"/>
      <c r="K86" s="166"/>
      <c r="L86" s="166"/>
      <c r="M86" s="166"/>
      <c r="N86" s="166"/>
      <c r="O86" s="166"/>
      <c r="P86" s="166"/>
      <c r="Q86" s="166"/>
      <c r="R86" s="166"/>
      <c r="S86" s="166"/>
      <c r="T86" s="166"/>
      <c r="U86" s="166"/>
      <c r="V86" s="166"/>
      <c r="W86" s="166"/>
      <c r="X86" s="166"/>
    </row>
  </sheetData>
  <mergeCells count="19">
    <mergeCell ref="A85:D85"/>
    <mergeCell ref="A84:D84"/>
    <mergeCell ref="A83:D83"/>
    <mergeCell ref="E85:X85"/>
    <mergeCell ref="A86:D86"/>
    <mergeCell ref="E86:X86"/>
    <mergeCell ref="A82:D82"/>
    <mergeCell ref="Q3:Y3"/>
    <mergeCell ref="A1:W1"/>
    <mergeCell ref="A3:B3"/>
    <mergeCell ref="C3:D3"/>
    <mergeCell ref="A5:A8"/>
    <mergeCell ref="B5:B8"/>
    <mergeCell ref="C5:C8"/>
    <mergeCell ref="D7:D8"/>
    <mergeCell ref="D2:E2"/>
    <mergeCell ref="E7:X7"/>
    <mergeCell ref="E5:X5"/>
    <mergeCell ref="A4:B4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2"/>
  <dimension ref="A1:P18"/>
  <sheetViews>
    <sheetView tabSelected="1" topLeftCell="A5" workbookViewId="0">
      <selection activeCell="J16" sqref="J16"/>
    </sheetView>
  </sheetViews>
  <sheetFormatPr defaultRowHeight="12.75"/>
  <cols>
    <col min="1" max="1" width="12.7109375" customWidth="1"/>
  </cols>
  <sheetData>
    <row r="1" spans="1:16" ht="15">
      <c r="A1" s="16" t="s">
        <v>21</v>
      </c>
      <c r="B1" s="69"/>
      <c r="C1" s="94">
        <v>8</v>
      </c>
      <c r="D1" s="130"/>
      <c r="E1" s="130"/>
      <c r="F1" s="93"/>
      <c r="G1" s="3"/>
      <c r="H1" s="3"/>
    </row>
    <row r="2" spans="1:16" ht="15">
      <c r="A2" s="151" t="s">
        <v>24</v>
      </c>
      <c r="B2" s="151"/>
      <c r="C2" s="134" t="s">
        <v>83</v>
      </c>
      <c r="D2" s="134"/>
      <c r="E2" s="134"/>
      <c r="F2" s="134"/>
      <c r="G2" s="134"/>
      <c r="H2" s="134"/>
    </row>
    <row r="4" spans="1:16" ht="21.75" customHeight="1">
      <c r="A4" s="167" t="s">
        <v>49</v>
      </c>
      <c r="B4" s="167"/>
      <c r="C4" s="167"/>
      <c r="D4" s="167"/>
      <c r="E4" s="167"/>
      <c r="F4" s="167"/>
      <c r="G4" s="167"/>
      <c r="H4" s="167"/>
      <c r="I4" s="167"/>
      <c r="J4" s="167"/>
      <c r="K4" s="167"/>
      <c r="L4" s="167"/>
      <c r="M4" s="167"/>
      <c r="N4" s="167"/>
      <c r="O4" s="167"/>
      <c r="P4" s="167"/>
    </row>
    <row r="5" spans="1:16" ht="42" customHeight="1">
      <c r="A5" s="91" t="s">
        <v>50</v>
      </c>
      <c r="B5" s="92">
        <f>ExitSurvey!C1</f>
        <v>6</v>
      </c>
      <c r="C5" s="168" t="s">
        <v>67</v>
      </c>
      <c r="D5" s="169"/>
      <c r="E5" s="169"/>
      <c r="F5" s="169"/>
      <c r="G5" s="169"/>
      <c r="H5" s="169"/>
      <c r="I5" s="169"/>
      <c r="J5" s="169"/>
      <c r="K5" s="169"/>
      <c r="L5" s="169"/>
      <c r="M5" s="169"/>
      <c r="N5" s="169"/>
      <c r="O5" s="169"/>
      <c r="P5" s="170"/>
    </row>
    <row r="6" spans="1:16" ht="15">
      <c r="A6" s="88" t="s">
        <v>51</v>
      </c>
      <c r="B6" s="88" t="s">
        <v>52</v>
      </c>
      <c r="C6" s="88" t="s">
        <v>53</v>
      </c>
      <c r="D6" s="88" t="s">
        <v>54</v>
      </c>
      <c r="E6" s="88" t="s">
        <v>55</v>
      </c>
      <c r="F6" s="88" t="s">
        <v>56</v>
      </c>
      <c r="G6" s="88" t="s">
        <v>57</v>
      </c>
      <c r="H6" s="88" t="s">
        <v>58</v>
      </c>
      <c r="I6" s="88" t="s">
        <v>59</v>
      </c>
      <c r="J6" s="88" t="s">
        <v>60</v>
      </c>
      <c r="K6" s="88" t="s">
        <v>61</v>
      </c>
      <c r="L6" s="88" t="s">
        <v>62</v>
      </c>
      <c r="M6" s="88" t="s">
        <v>63</v>
      </c>
      <c r="N6" s="88" t="s">
        <v>64</v>
      </c>
      <c r="O6" s="88" t="s">
        <v>65</v>
      </c>
      <c r="P6" s="88" t="s">
        <v>66</v>
      </c>
    </row>
    <row r="7" spans="1:16" ht="19.5" customHeight="1">
      <c r="A7" s="89" t="s">
        <v>8</v>
      </c>
      <c r="B7" s="90">
        <v>3</v>
      </c>
      <c r="C7" s="90"/>
      <c r="D7" s="90"/>
      <c r="E7" s="90"/>
      <c r="F7" s="90">
        <v>1</v>
      </c>
      <c r="G7" s="90"/>
      <c r="H7" s="90"/>
      <c r="I7" s="90"/>
      <c r="J7" s="90"/>
      <c r="K7" s="90"/>
      <c r="L7" s="90"/>
      <c r="M7" s="90"/>
      <c r="N7" s="90"/>
      <c r="O7" s="90">
        <v>3</v>
      </c>
      <c r="P7" s="90"/>
    </row>
    <row r="8" spans="1:16" ht="19.5" customHeight="1">
      <c r="A8" s="89" t="s">
        <v>9</v>
      </c>
      <c r="B8" s="90">
        <v>3</v>
      </c>
      <c r="C8" s="90"/>
      <c r="D8" s="90"/>
      <c r="E8" s="90"/>
      <c r="F8" s="90">
        <v>1</v>
      </c>
      <c r="G8" s="90"/>
      <c r="H8" s="90"/>
      <c r="I8" s="90"/>
      <c r="J8" s="90">
        <v>2</v>
      </c>
      <c r="K8" s="90"/>
      <c r="L8" s="90"/>
      <c r="M8" s="90"/>
      <c r="N8" s="90"/>
      <c r="O8" s="90">
        <v>3</v>
      </c>
      <c r="P8" s="90"/>
    </row>
    <row r="9" spans="1:16" ht="19.5" customHeight="1">
      <c r="A9" s="89" t="s">
        <v>7</v>
      </c>
      <c r="B9" s="90">
        <v>3</v>
      </c>
      <c r="C9" s="90"/>
      <c r="D9" s="90">
        <v>3</v>
      </c>
      <c r="E9" s="90"/>
      <c r="F9" s="90"/>
      <c r="G9" s="90"/>
      <c r="H9" s="90"/>
      <c r="I9" s="90"/>
      <c r="J9" s="90">
        <v>2</v>
      </c>
      <c r="K9" s="90"/>
      <c r="L9" s="90"/>
      <c r="M9" s="90"/>
      <c r="N9" s="90"/>
      <c r="O9" s="90">
        <v>3</v>
      </c>
      <c r="P9" s="90"/>
    </row>
    <row r="10" spans="1:16" ht="19.5" customHeight="1">
      <c r="A10" s="89" t="s">
        <v>10</v>
      </c>
      <c r="B10" s="90">
        <v>3</v>
      </c>
      <c r="C10" s="90"/>
      <c r="D10" s="90">
        <v>3</v>
      </c>
      <c r="E10" s="90"/>
      <c r="F10" s="90"/>
      <c r="G10" s="90"/>
      <c r="H10" s="90"/>
      <c r="I10" s="90"/>
      <c r="J10" s="90">
        <v>2</v>
      </c>
      <c r="K10" s="90"/>
      <c r="L10" s="90"/>
      <c r="M10" s="90"/>
      <c r="N10" s="90"/>
      <c r="O10" s="90">
        <v>3</v>
      </c>
      <c r="P10" s="90"/>
    </row>
    <row r="11" spans="1:16" ht="19.5" customHeight="1">
      <c r="A11" s="89" t="s">
        <v>6</v>
      </c>
      <c r="B11" s="90">
        <v>3</v>
      </c>
      <c r="C11" s="90"/>
      <c r="D11" s="90">
        <v>3</v>
      </c>
      <c r="E11" s="90"/>
      <c r="F11" s="90"/>
      <c r="G11" s="90"/>
      <c r="H11" s="90"/>
      <c r="I11" s="90"/>
      <c r="J11" s="90">
        <v>2</v>
      </c>
      <c r="K11" s="90"/>
      <c r="L11" s="90"/>
      <c r="M11" s="90"/>
      <c r="N11" s="90"/>
      <c r="O11" s="90">
        <v>3</v>
      </c>
      <c r="P11" s="90"/>
    </row>
    <row r="12" spans="1:16" ht="19.5" customHeight="1">
      <c r="A12" s="89" t="s">
        <v>37</v>
      </c>
      <c r="B12" s="90">
        <v>3</v>
      </c>
      <c r="C12" s="90"/>
      <c r="D12" s="90"/>
      <c r="E12" s="90"/>
      <c r="F12" s="90"/>
      <c r="G12" s="90"/>
      <c r="H12" s="90"/>
      <c r="I12" s="90"/>
      <c r="J12" s="90">
        <v>2</v>
      </c>
      <c r="K12" s="90">
        <v>1</v>
      </c>
      <c r="L12" s="90"/>
      <c r="M12" s="90"/>
      <c r="N12" s="90">
        <v>1</v>
      </c>
      <c r="O12" s="90">
        <v>3</v>
      </c>
      <c r="P12" s="90"/>
    </row>
    <row r="13" spans="1:16" ht="19.5" customHeight="1">
      <c r="A13" s="89" t="s">
        <v>26</v>
      </c>
      <c r="B13" s="90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</row>
    <row r="14" spans="1:16" ht="19.5" customHeight="1">
      <c r="A14" s="89" t="s">
        <v>27</v>
      </c>
      <c r="B14" s="90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</row>
    <row r="15" spans="1:16" ht="19.5" customHeight="1">
      <c r="A15" s="89"/>
      <c r="B15" s="90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</row>
    <row r="16" spans="1:16" ht="19.5" customHeight="1">
      <c r="A16" s="89"/>
      <c r="B16" s="90"/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</row>
    <row r="17" spans="1:16" ht="19.5" customHeight="1">
      <c r="A17" s="89"/>
      <c r="B17" s="90"/>
      <c r="C17" s="90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</row>
    <row r="18" spans="1:16" ht="25.5">
      <c r="A18" s="107" t="s">
        <v>75</v>
      </c>
      <c r="B18" s="108">
        <v>3</v>
      </c>
      <c r="C18" s="108">
        <v>0</v>
      </c>
      <c r="D18" s="108">
        <v>3</v>
      </c>
      <c r="E18" s="108">
        <v>0</v>
      </c>
      <c r="F18" s="108">
        <v>1</v>
      </c>
      <c r="G18" s="108">
        <v>0</v>
      </c>
      <c r="H18" s="108">
        <v>0</v>
      </c>
      <c r="I18" s="108">
        <v>0</v>
      </c>
      <c r="J18" s="108">
        <v>2</v>
      </c>
      <c r="K18" s="108">
        <v>1</v>
      </c>
      <c r="L18" s="108">
        <v>0</v>
      </c>
      <c r="M18" s="108">
        <v>0</v>
      </c>
      <c r="N18" s="108">
        <v>1</v>
      </c>
      <c r="O18" s="108">
        <v>3</v>
      </c>
      <c r="P18" s="108">
        <v>0</v>
      </c>
    </row>
  </sheetData>
  <mergeCells count="5">
    <mergeCell ref="A4:P4"/>
    <mergeCell ref="C5:P5"/>
    <mergeCell ref="D1:E1"/>
    <mergeCell ref="A2:B2"/>
    <mergeCell ref="C2:H2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5"/>
  <dimension ref="A1:P12"/>
  <sheetViews>
    <sheetView workbookViewId="0">
      <selection activeCell="I7" sqref="I7:J7"/>
    </sheetView>
  </sheetViews>
  <sheetFormatPr defaultRowHeight="12.75"/>
  <cols>
    <col min="1" max="1" width="16.7109375" customWidth="1"/>
    <col min="9" max="9" width="9.140625" customWidth="1"/>
  </cols>
  <sheetData>
    <row r="1" spans="1:16">
      <c r="A1" s="177" t="s">
        <v>76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</row>
    <row r="2" spans="1:16">
      <c r="A2" s="177"/>
      <c r="B2" s="177"/>
      <c r="C2" s="177"/>
      <c r="D2" s="177"/>
      <c r="E2" s="177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</row>
    <row r="3" spans="1:16">
      <c r="A3" s="177"/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</row>
    <row r="4" spans="1:16" ht="27.75" customHeight="1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</row>
    <row r="5" spans="1:16">
      <c r="A5" s="178" t="s">
        <v>78</v>
      </c>
      <c r="B5" s="179"/>
      <c r="C5" s="179"/>
      <c r="D5" s="179"/>
      <c r="E5" s="179"/>
      <c r="F5" s="179"/>
      <c r="G5" s="179"/>
      <c r="H5" s="179"/>
      <c r="I5" s="179"/>
      <c r="J5" s="180"/>
    </row>
    <row r="6" spans="1:16">
      <c r="A6" s="176" t="s">
        <v>79</v>
      </c>
      <c r="B6" s="176"/>
      <c r="C6" s="176" t="s">
        <v>80</v>
      </c>
      <c r="D6" s="176"/>
      <c r="E6" s="176"/>
      <c r="F6" s="176" t="s">
        <v>42</v>
      </c>
      <c r="G6" s="176"/>
      <c r="H6" s="176"/>
      <c r="I6" s="176" t="s">
        <v>73</v>
      </c>
      <c r="J6" s="176"/>
    </row>
    <row r="7" spans="1:16">
      <c r="A7" s="173">
        <f>DirectSummary!E86</f>
        <v>1</v>
      </c>
      <c r="B7" s="174"/>
      <c r="C7" s="173">
        <f>University!E82</f>
        <v>3</v>
      </c>
      <c r="D7" s="175"/>
      <c r="E7" s="174"/>
      <c r="F7" s="173">
        <f>ExitSurvey!C78</f>
        <v>2.5267295597484276</v>
      </c>
      <c r="G7" s="175"/>
      <c r="H7" s="174"/>
      <c r="I7" s="173">
        <f>(0.8*((0.4*A7)+(0.6*C7)))+(0.2*F7)</f>
        <v>2.2653459119496855</v>
      </c>
      <c r="J7" s="175"/>
    </row>
    <row r="8" spans="1:16">
      <c r="A8" t="s">
        <v>51</v>
      </c>
      <c r="B8" t="s">
        <v>8</v>
      </c>
      <c r="C8" t="s">
        <v>9</v>
      </c>
      <c r="D8" t="s">
        <v>7</v>
      </c>
      <c r="E8" t="s">
        <v>10</v>
      </c>
      <c r="F8" t="s">
        <v>6</v>
      </c>
      <c r="G8" t="s">
        <v>37</v>
      </c>
    </row>
    <row r="9" spans="1:16">
      <c r="A9" t="s">
        <v>73</v>
      </c>
      <c r="B9">
        <v>2.2392452830188678</v>
      </c>
      <c r="C9">
        <v>1.9154716981132074</v>
      </c>
      <c r="D9">
        <v>2.6233962264150938</v>
      </c>
      <c r="E9">
        <v>1.9645283018867925</v>
      </c>
      <c r="F9">
        <v>2.2694339622641508</v>
      </c>
      <c r="G9">
        <v>2.9000000000000004</v>
      </c>
    </row>
    <row r="10" spans="1:16" ht="15">
      <c r="A10" s="171" t="s">
        <v>77</v>
      </c>
      <c r="B10" s="88" t="s">
        <v>52</v>
      </c>
      <c r="C10" s="88" t="s">
        <v>53</v>
      </c>
      <c r="D10" s="88" t="s">
        <v>54</v>
      </c>
      <c r="E10" s="88" t="s">
        <v>55</v>
      </c>
      <c r="F10" s="88" t="s">
        <v>56</v>
      </c>
      <c r="G10" s="88" t="s">
        <v>57</v>
      </c>
      <c r="H10" s="88" t="s">
        <v>58</v>
      </c>
      <c r="I10" s="88" t="s">
        <v>59</v>
      </c>
      <c r="J10" s="88" t="s">
        <v>60</v>
      </c>
      <c r="K10" s="88" t="s">
        <v>61</v>
      </c>
      <c r="L10" s="88" t="s">
        <v>62</v>
      </c>
      <c r="M10" s="88" t="s">
        <v>63</v>
      </c>
      <c r="N10" s="88" t="s">
        <v>64</v>
      </c>
      <c r="O10" s="88" t="s">
        <v>65</v>
      </c>
      <c r="P10" s="88" t="s">
        <v>66</v>
      </c>
    </row>
    <row r="11" spans="1:16">
      <c r="A11" s="172"/>
      <c r="B11" s="109">
        <v>3</v>
      </c>
      <c r="C11" s="109">
        <v>0</v>
      </c>
      <c r="D11" s="109">
        <v>3</v>
      </c>
      <c r="E11" s="109">
        <v>0</v>
      </c>
      <c r="F11" s="109">
        <v>1</v>
      </c>
      <c r="G11" s="109">
        <v>0</v>
      </c>
      <c r="H11" s="109">
        <v>0</v>
      </c>
      <c r="I11" s="109">
        <v>0</v>
      </c>
      <c r="J11" s="109">
        <v>2</v>
      </c>
      <c r="K11" s="109">
        <v>1</v>
      </c>
      <c r="L11" s="109">
        <v>0</v>
      </c>
      <c r="M11" s="109">
        <v>0</v>
      </c>
      <c r="N11" s="109">
        <v>1</v>
      </c>
      <c r="O11" s="109">
        <v>3</v>
      </c>
      <c r="P11" s="109">
        <v>0</v>
      </c>
    </row>
    <row r="12" spans="1:16" ht="25.5" customHeight="1">
      <c r="A12" s="113" t="s">
        <v>48</v>
      </c>
      <c r="B12" s="114">
        <v>2.2653459119496855</v>
      </c>
      <c r="C12" s="114">
        <v>0</v>
      </c>
      <c r="D12" s="114">
        <v>2.2653459119496855</v>
      </c>
      <c r="E12" s="114">
        <v>0</v>
      </c>
      <c r="F12" s="114">
        <v>0.75511530398322846</v>
      </c>
      <c r="G12" s="114">
        <v>0</v>
      </c>
      <c r="H12" s="114">
        <v>0</v>
      </c>
      <c r="I12" s="114">
        <v>0</v>
      </c>
      <c r="J12" s="114">
        <v>1.5102306079664569</v>
      </c>
      <c r="K12" s="114">
        <v>0.75511530398322846</v>
      </c>
      <c r="L12" s="114">
        <v>0</v>
      </c>
      <c r="M12" s="114">
        <v>0</v>
      </c>
      <c r="N12" s="114">
        <v>0.75511530398322846</v>
      </c>
      <c r="O12" s="114">
        <v>2.2653459119496855</v>
      </c>
      <c r="P12" s="114">
        <v>0</v>
      </c>
    </row>
  </sheetData>
  <mergeCells count="11">
    <mergeCell ref="A6:B6"/>
    <mergeCell ref="C6:E6"/>
    <mergeCell ref="F6:H6"/>
    <mergeCell ref="I6:J6"/>
    <mergeCell ref="A1:P4"/>
    <mergeCell ref="A5:J5"/>
    <mergeCell ref="A10:A11"/>
    <mergeCell ref="A7:B7"/>
    <mergeCell ref="C7:E7"/>
    <mergeCell ref="F7:H7"/>
    <mergeCell ref="I7:J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ST-I</vt:lpstr>
      <vt:lpstr>AS-I</vt:lpstr>
      <vt:lpstr>ST-II</vt:lpstr>
      <vt:lpstr>AS-II</vt:lpstr>
      <vt:lpstr>ExitSurvey</vt:lpstr>
      <vt:lpstr>University</vt:lpstr>
      <vt:lpstr>DirectSummary</vt:lpstr>
      <vt:lpstr>CO-PO-Matrix</vt:lpstr>
      <vt:lpstr>Attainment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2015-12-18T05:38:59Z</cp:lastPrinted>
  <dcterms:created xsi:type="dcterms:W3CDTF">2006-04-10T15:25:27Z</dcterms:created>
  <dcterms:modified xsi:type="dcterms:W3CDTF">2018-12-12T04:18:33Z</dcterms:modified>
</cp:coreProperties>
</file>